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C:\Users\ConnorMcConville\Computer System Validation Ltd\Niall Rooney - Projects\Siemens\Spreadsheet Validation\DCA Filter Set 2016\Master Spreadsheet\Current Version\"/>
    </mc:Choice>
  </mc:AlternateContent>
  <xr:revisionPtr revIDLastSave="0" documentId="11_22C9B91F3ACDCBC5113C17FFFAC6DB53CB87257B" xr6:coauthVersionLast="45" xr6:coauthVersionMax="45" xr10:uidLastSave="{00000000-0000-0000-0000-000000000000}"/>
  <bookViews>
    <workbookView xWindow="61800" yWindow="0" windowWidth="21600" windowHeight="11385" xr2:uid="{00000000-000D-0000-FFFF-FFFF00000000}"/>
  </bookViews>
  <sheets>
    <sheet name="MFWI-00074-SUD-F1" sheetId="7" r:id="rId1"/>
    <sheet name="Reference Set" sheetId="4" r:id="rId2"/>
    <sheet name="Sign-Off Sheet" sheetId="9" r:id="rId3"/>
    <sheet name="Limits" sheetId="8" state="hidden" r:id="rId4"/>
    <sheet name="Barcode Numbers" sheetId="2" state="hidden" r:id="rId5"/>
  </sheets>
  <definedNames>
    <definedName name="_PE005703">'Reference Set'!$C$15</definedName>
    <definedName name="_PE005704">'Reference Set'!$C$16</definedName>
    <definedName name="Assign_Blank">'MFWI-00074-SUD-F1'!$G$8</definedName>
    <definedName name="Assign_High">'MFWI-00074-SUD-F1'!$G$9</definedName>
    <definedName name="Assign_Low">'MFWI-00074-SUD-F1'!$G$11</definedName>
    <definedName name="Assign_SBlank">'MFWI-00074-SUD-F1'!$G$13</definedName>
    <definedName name="Assign_Scatter">'MFWI-00074-SUD-F1'!$G$14</definedName>
    <definedName name="Assign_Test">'MFWI-00074-SUD-F1'!$G$10</definedName>
    <definedName name="AssignedTargetNormalisation">'MFWI-00074-SUD-F1'!$G$15</definedName>
    <definedName name="AssignedTargetNormalisationLabelFormat">'MFWI-00074-SUD-F1'!$G$16</definedName>
    <definedName name="AssignHigh">'MFWI-00074-SUD-F1'!$G$9</definedName>
    <definedName name="AssignLow">'MFWI-00074-SUD-F1'!$G$11</definedName>
    <definedName name="AssignScatter">'MFWI-00074-SUD-F1'!$G$14</definedName>
    <definedName name="AssignTest">'MFWI-00074-SUD-F1'!$G$10</definedName>
    <definedName name="Average_High">#REF!</definedName>
    <definedName name="Average_Low">#REF!</definedName>
    <definedName name="Average_ND_Blank">#REF!</definedName>
    <definedName name="Average_Norm">#REF!</definedName>
    <definedName name="Average_S_Blank">#REF!</definedName>
    <definedName name="Average_Scatter">#REF!</definedName>
    <definedName name="Average_Span_Limit_Blank">Limits!$H$8</definedName>
    <definedName name="Average_Span_Limit_High">Limits!$H$9</definedName>
    <definedName name="Average_Span_Limit_Low">Limits!$H$11</definedName>
    <definedName name="Average_Span_Limit_Norm">Limits!$H$15</definedName>
    <definedName name="Average_Span_Limit_Reference_Blank">Limits!$F$8</definedName>
    <definedName name="Average_Span_Limit_Reference_High">Limits!$F$9</definedName>
    <definedName name="Average_Span_Limit_Reference_Low">Limits!$F$11</definedName>
    <definedName name="Average_Span_Limit_Reference_Norm">Limits!$F$15</definedName>
    <definedName name="Average_Span_Limit_Reference_SBlank">Limits!$F$13</definedName>
    <definedName name="Average_Span_Limit_Reference_Scatter">Limits!$F$14</definedName>
    <definedName name="Average_Span_Limit_Reference_Test">Limits!$F$10</definedName>
    <definedName name="Average_Span_Limit_Reference_Var">Limits!$F$12</definedName>
    <definedName name="Average_Span_Limit_SBlank">Limits!$H$13</definedName>
    <definedName name="Average_Span_Limit_Scatter">Limits!$H$14</definedName>
    <definedName name="Average_Span_Limit_Test">Limits!$H$10</definedName>
    <definedName name="Average_Span_Limit_Var">Limits!$H$12</definedName>
    <definedName name="Average_Test">#REF!</definedName>
    <definedName name="Barcode1">'Barcode Numbers'!$B$13</definedName>
    <definedName name="Barcode10">'Barcode Numbers'!$K$13</definedName>
    <definedName name="Barcode11">'Barcode Numbers'!$L$13</definedName>
    <definedName name="Barcode2">'Barcode Numbers'!$C$13</definedName>
    <definedName name="Barcode3">'Barcode Numbers'!$D$13</definedName>
    <definedName name="Barcode4">'Barcode Numbers'!$E$13</definedName>
    <definedName name="Barcode5">'Barcode Numbers'!$F$13</definedName>
    <definedName name="Barcode6">'Barcode Numbers'!$G$13</definedName>
    <definedName name="Barcode7">'Barcode Numbers'!$H$13</definedName>
    <definedName name="Barcode8">'Barcode Numbers'!$I$13</definedName>
    <definedName name="Barcode9">'Barcode Numbers'!$J$13</definedName>
    <definedName name="BC_Check_Blank">'MFWI-00074-SUD-F1'!$H$8</definedName>
    <definedName name="BC_Check_High">'MFWI-00074-SUD-F1'!$H$9</definedName>
    <definedName name="BC_Check_Low">'MFWI-00074-SUD-F1'!$H$11</definedName>
    <definedName name="BC_Check_Norm">'MFWI-00074-SUD-F1'!$H$17</definedName>
    <definedName name="BC_Check_SBlank">'MFWI-00074-SUD-F1'!$H$13</definedName>
    <definedName name="BC_Check_Scatter">'MFWI-00074-SUD-F1'!$H$14</definedName>
    <definedName name="BC_Check_Test">'MFWI-00074-SUD-F1'!$H$10</definedName>
    <definedName name="BC_Check_VAR">'MFWI-00074-SUD-F1'!$H$12</definedName>
    <definedName name="BC_Scatter">'Reference Set'!$D$11</definedName>
    <definedName name="Blank">'MFWI-00074-SUD-F1'!#REF!</definedName>
    <definedName name="Blank_Check">'MFWI-00074-SUD-F1'!$F$8</definedName>
    <definedName name="Blank_Measured">#REF!</definedName>
    <definedName name="Checksum_Blank">'Barcode Numbers'!$M$6</definedName>
    <definedName name="Checksum_High">'Barcode Numbers'!$M$7</definedName>
    <definedName name="Checksum_Low">'Barcode Numbers'!$M$9</definedName>
    <definedName name="Checksum_Norm">'Barcode Numbers'!$M$13</definedName>
    <definedName name="Checksum_SBlank">'Barcode Numbers'!$M$11</definedName>
    <definedName name="Checksum_Scatter">'Barcode Numbers'!$M$12</definedName>
    <definedName name="Checksum_Test">'Barcode Numbers'!$M$8</definedName>
    <definedName name="Checksum_VAR">'Barcode Numbers'!$M$10</definedName>
    <definedName name="DCA_Blank">'MFWI-00074-SUD-F1'!$E$8</definedName>
    <definedName name="DCA_Blank_1">'MFWI-00074-SUD-F1'!$B$8</definedName>
    <definedName name="DCA_Blank_2">'MFWI-00074-SUD-F1'!$C$8</definedName>
    <definedName name="DCA_Blank_3">'MFWI-00074-SUD-F1'!$D$8</definedName>
    <definedName name="DCA_High">'MFWI-00074-SUD-F1'!$E$9</definedName>
    <definedName name="DCA_High_1">'MFWI-00074-SUD-F1'!$B$9</definedName>
    <definedName name="DCA_High_2">'MFWI-00074-SUD-F1'!$C$9</definedName>
    <definedName name="DCA_High_3">'MFWI-00074-SUD-F1'!$D$9</definedName>
    <definedName name="DCA_Low">'MFWI-00074-SUD-F1'!$E$11</definedName>
    <definedName name="DCA_Low_1">'MFWI-00074-SUD-F1'!$B$11</definedName>
    <definedName name="DCA_Low_2">'MFWI-00074-SUD-F1'!$C$11</definedName>
    <definedName name="DCA_Low_3">'MFWI-00074-SUD-F1'!$D$11</definedName>
    <definedName name="DCA_Norm">'MFWI-00074-SUD-F1'!$E$15</definedName>
    <definedName name="DCA_Norm_1">'MFWI-00074-SUD-F1'!$B$15</definedName>
    <definedName name="DCA_Norm_2">'MFWI-00074-SUD-F1'!$C$15</definedName>
    <definedName name="DCA_Norm_3">'MFWI-00074-SUD-F1'!$D$15</definedName>
    <definedName name="DCA_SBlank">'MFWI-00074-SUD-F1'!$E$13</definedName>
    <definedName name="DCA_SBlank_1">'MFWI-00074-SUD-F1'!$B$13</definedName>
    <definedName name="DCA_SBlank_2">'MFWI-00074-SUD-F1'!$C$13</definedName>
    <definedName name="DCA_SBlank_3">'MFWI-00074-SUD-F1'!$D$13</definedName>
    <definedName name="DCA_Scatter">'MFWI-00074-SUD-F1'!$E$14</definedName>
    <definedName name="DCA_Scatter_1">'MFWI-00074-SUD-F1'!$B$14</definedName>
    <definedName name="DCA_Scatter_2">'MFWI-00074-SUD-F1'!$C$14</definedName>
    <definedName name="DCA_Scatter_3">'MFWI-00074-SUD-F1'!$D$14</definedName>
    <definedName name="DCA_Test">'MFWI-00074-SUD-F1'!$E$10</definedName>
    <definedName name="DCA_Test_1">'MFWI-00074-SUD-F1'!$B$10</definedName>
    <definedName name="DCA_Test_2">'MFWI-00074-SUD-F1'!$C$10</definedName>
    <definedName name="DCA_Test_3">'MFWI-00074-SUD-F1'!$D$10</definedName>
    <definedName name="DCA_Var">'MFWI-00074-SUD-F1'!$E$12</definedName>
    <definedName name="DCA_Var_1">'MFWI-00074-SUD-F1'!$B$12</definedName>
    <definedName name="DCA_Var_2">'MFWI-00074-SUD-F1'!$C$12</definedName>
    <definedName name="DCA_Var_3">'MFWI-00074-SUD-F1'!$D$12</definedName>
    <definedName name="Filter_Set_Number">'MFWI-00074-SUD-F1'!$B$3</definedName>
    <definedName name="High">'MFWI-00074-SUD-F1'!#REF!</definedName>
    <definedName name="High_Check">'MFWI-00074-SUD-F1'!$F$9</definedName>
    <definedName name="High_Measured">#REF!</definedName>
    <definedName name="Limit_Blank_High">Limits!$K$8</definedName>
    <definedName name="Limit_Blank_Low">Limits!$J$8</definedName>
    <definedName name="Limit_High">'Reference Set'!#REF!</definedName>
    <definedName name="Limit_High_High">Limits!$K$9</definedName>
    <definedName name="Limit_High_Low">Limits!$J$9</definedName>
    <definedName name="Limit_Low">'Reference Set'!#REF!</definedName>
    <definedName name="Limit_Low_High">Limits!$K$11</definedName>
    <definedName name="Limit_Low_Low">Limits!$J$11</definedName>
    <definedName name="Limit_Norm_High">Limits!$K$15</definedName>
    <definedName name="Limit_Norm_Low">Limits!$J$15</definedName>
    <definedName name="Limit_SBlank_High">Limits!$K$13</definedName>
    <definedName name="Limit_SBlank_Low">Limits!$J$13</definedName>
    <definedName name="Limit_Scatter">'Reference Set'!#REF!</definedName>
    <definedName name="Limit_Scatter_High">Limits!$K$14</definedName>
    <definedName name="Limit_Scatter_Low">Limits!$J$14</definedName>
    <definedName name="Limit_Test">'Reference Set'!#REF!</definedName>
    <definedName name="Limit_Test_High">Limits!$K$10</definedName>
    <definedName name="Limit_Test_Low">Limits!$J$10</definedName>
    <definedName name="Limit_Var_High">Limits!$K$12</definedName>
    <definedName name="Limit_Var_Low">Limits!$J$12</definedName>
    <definedName name="Low">'MFWI-00074-SUD-F1'!#REF!</definedName>
    <definedName name="Low_Check">'MFWI-00074-SUD-F1'!$F$11</definedName>
    <definedName name="Low_Measured">#REF!</definedName>
    <definedName name="Measured_Normalisation">'Reference Set'!#REF!</definedName>
    <definedName name="New_Instrument_Number">'Reference Set'!$F$3</definedName>
    <definedName name="NewHigh">#REF!</definedName>
    <definedName name="NewLow">#REF!</definedName>
    <definedName name="NewNormalisation">#REF!</definedName>
    <definedName name="NewScatter">#REF!</definedName>
    <definedName name="NewTest">#REF!</definedName>
    <definedName name="Norm">'MFWI-00074-SUD-F1'!#REF!</definedName>
    <definedName name="Norm_Check">'MFWI-00074-SUD-F1'!$F$15</definedName>
    <definedName name="Norm_Measured">#REF!</definedName>
    <definedName name="NormalisationSerialNumber">'MFWI-00074-SUD-F1'!$G$17</definedName>
    <definedName name="NormalisationTarget">'Barcode Numbers'!$E$27</definedName>
    <definedName name="NotBC_High">'Reference Set'!$D$6</definedName>
    <definedName name="NotBC_Low">'Reference Set'!$D$8</definedName>
    <definedName name="NotBC_Test">'Reference Set'!$D$7</definedName>
    <definedName name="NPL_Blank">Limits!$D$8</definedName>
    <definedName name="NPL_High">Limits!$D$9</definedName>
    <definedName name="NPL_Low">Limits!$D$11</definedName>
    <definedName name="NPL_Scatter">Limits!$D$13</definedName>
    <definedName name="NPL_Test">Limits!$D$10</definedName>
    <definedName name="NPLBlank">'Reference Set'!$C$5</definedName>
    <definedName name="Offset_High">'Reference Set'!$E$6</definedName>
    <definedName name="Offset_Low">'Reference Set'!$E$8</definedName>
    <definedName name="Offset_Scatter">'Reference Set'!$E$11</definedName>
    <definedName name="Offset_Test">'Reference Set'!$E$7</definedName>
    <definedName name="OriginalHigh">#REF!</definedName>
    <definedName name="OriginalLow">#REF!</definedName>
    <definedName name="OriginalNormalisation">#REF!</definedName>
    <definedName name="OriginalScatter">#REF!</definedName>
    <definedName name="OriginalTest">#REF!</definedName>
    <definedName name="PHNSerialNumber">'Barcode Numbers'!$E$26</definedName>
    <definedName name="Ref_High">'Reference Set'!$C$6</definedName>
    <definedName name="Ref_Low">'Reference Set'!$C$8</definedName>
    <definedName name="Ref_ND_Blank_Reading">'Reference Set'!$I$5</definedName>
    <definedName name="Ref_ND_Blank_Reading_1">'Reference Set'!$F$5</definedName>
    <definedName name="Ref_ND_Blank_Reading_2">'Reference Set'!$G$5</definedName>
    <definedName name="Ref_ND_Blank_Reading_3">'Reference Set'!$H$5</definedName>
    <definedName name="Ref_ND_High_Reading">'Reference Set'!$I$6</definedName>
    <definedName name="Ref_ND_High_Reading_1">'Reference Set'!$F$6</definedName>
    <definedName name="Ref_ND_High_Reading_2">'Reference Set'!$G$6</definedName>
    <definedName name="Ref_ND_High_Reading_3">'Reference Set'!$H$6</definedName>
    <definedName name="Ref_ND_Low_Reading">'Reference Set'!$I$8</definedName>
    <definedName name="Ref_ND_Low_Reading_1">'Reference Set'!$F$8</definedName>
    <definedName name="Ref_ND_Low_Reading_2">'Reference Set'!$G$8</definedName>
    <definedName name="Ref_ND_Low_Reading_3">'Reference Set'!$H$8</definedName>
    <definedName name="Ref_ND_Test_Reading">'Reference Set'!$I$7</definedName>
    <definedName name="Ref_ND_Test_Reading_1">'Reference Set'!$F$7</definedName>
    <definedName name="Ref_ND_Test_Reading_2">'Reference Set'!$G$7</definedName>
    <definedName name="Ref_ND_Test_Reading_3">'Reference Set'!$H$7</definedName>
    <definedName name="Ref_ND_Var_Reading">'Reference Set'!$I$9</definedName>
    <definedName name="Ref_ND_Var_Reading_1">'Reference Set'!$F$9</definedName>
    <definedName name="Ref_ND_Var_Reading_2">'Reference Set'!$G$9</definedName>
    <definedName name="Ref_ND_Var_Reading_3">'Reference Set'!$H$9</definedName>
    <definedName name="Ref_Norm_Abs">'Reference Set'!$C$12</definedName>
    <definedName name="Ref_Normalisation_A_Reading">'Reference Set'!$I$14</definedName>
    <definedName name="Ref_Normalisation_Absorbance">'Reference Set'!#REF!</definedName>
    <definedName name="Ref_Normalisation_Reading">'Reference Set'!$I$12</definedName>
    <definedName name="Ref_Normalisation_Reading_1">'Reference Set'!$F$12</definedName>
    <definedName name="Ref_Normalisation_Reading_2">'Reference Set'!$G$12</definedName>
    <definedName name="Ref_Normalisation_Reading_3">'Reference Set'!$H$12</definedName>
    <definedName name="Ref_Scatter">'Reference Set'!$C$11</definedName>
    <definedName name="Ref_Scatter_Blank_Reading">'Reference Set'!$I$10</definedName>
    <definedName name="Ref_Scatter_Blank_Reading_1">'Reference Set'!$F$10</definedName>
    <definedName name="Ref_Scatter_Blank_Reading_2">'Reference Set'!$G$10</definedName>
    <definedName name="Ref_Scatter_Blank_Reading_3">'Reference Set'!$H$10</definedName>
    <definedName name="Ref_Scatter_Reading">'Reference Set'!$I$11</definedName>
    <definedName name="Ref_Scatter_Reading_1">'Reference Set'!$F$11</definedName>
    <definedName name="Ref_Scatter_Reading_2">'Reference Set'!$G$11</definedName>
    <definedName name="Ref_Scatter_Reading_3">'Reference Set'!$H$11</definedName>
    <definedName name="Ref_Test">'Reference Set'!$C$7</definedName>
    <definedName name="Reference_Filter_Target">#REF!</definedName>
    <definedName name="SBlank_Check">'MFWI-00074-SUD-F1'!$F$13</definedName>
    <definedName name="SBlank_Measured">#REF!</definedName>
    <definedName name="Scatter">'MFWI-00074-SUD-F1'!#REF!</definedName>
    <definedName name="Scatter_Check">'MFWI-00074-SUD-F1'!$F$14</definedName>
    <definedName name="Scatter_Measured">#REF!</definedName>
    <definedName name="ScatterBlank">'MFWI-00074-SUD-F1'!#REF!</definedName>
    <definedName name="Test">'MFWI-00074-SUD-F1'!#REF!</definedName>
    <definedName name="Test_Check">'MFWI-00074-SUD-F1'!$F$10</definedName>
    <definedName name="Test_Limit_High">Limits!$M$9</definedName>
    <definedName name="Test_Limit_Low">Limits!$M$11</definedName>
    <definedName name="Test_Limit_Scatter">Limits!$M$14</definedName>
    <definedName name="Test_Limit_Test">Limits!$M$10</definedName>
    <definedName name="Test_Measured">#REF!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7" i="7" l="1"/>
  <c r="D6" i="9" l="1"/>
  <c r="C4" i="9"/>
  <c r="E9" i="7" l="1"/>
  <c r="N11" i="8"/>
  <c r="E26" i="2"/>
  <c r="I11" i="4"/>
  <c r="I10" i="4"/>
  <c r="I5" i="4"/>
  <c r="E12" i="7"/>
  <c r="E13" i="7"/>
  <c r="E8" i="7"/>
  <c r="I8" i="4"/>
  <c r="I12" i="4"/>
  <c r="I14" i="4" s="1"/>
  <c r="I9" i="4"/>
  <c r="I7" i="4"/>
  <c r="I6" i="4"/>
  <c r="E15" i="7"/>
  <c r="E14" i="7"/>
  <c r="E11" i="7"/>
  <c r="E10" i="7"/>
  <c r="B2" i="2"/>
  <c r="F6" i="2" s="1"/>
  <c r="D8" i="4"/>
  <c r="D7" i="4"/>
  <c r="D6" i="4"/>
  <c r="D11" i="4" l="1"/>
  <c r="E11" i="4" s="1"/>
  <c r="E6" i="4"/>
  <c r="G8" i="7"/>
  <c r="F8" i="7"/>
  <c r="E7" i="4"/>
  <c r="E8" i="4"/>
  <c r="F10" i="7"/>
  <c r="G11" i="7"/>
  <c r="F15" i="7"/>
  <c r="F13" i="7"/>
  <c r="F9" i="7"/>
  <c r="F11" i="7"/>
  <c r="G10" i="7"/>
  <c r="G14" i="7"/>
  <c r="G15" i="7"/>
  <c r="G16" i="7" s="1"/>
  <c r="E27" i="2" s="1"/>
  <c r="E17" i="7"/>
  <c r="G9" i="7"/>
  <c r="G13" i="7"/>
  <c r="F7" i="2"/>
  <c r="G6" i="2"/>
  <c r="G7" i="2" s="1"/>
  <c r="G8" i="2" s="1"/>
  <c r="G9" i="2" s="1"/>
  <c r="G10" i="2" s="1"/>
  <c r="G11" i="2" s="1"/>
  <c r="G12" i="2" s="1"/>
  <c r="I13" i="2"/>
  <c r="J13" i="2" s="1"/>
  <c r="F14" i="7" l="1"/>
  <c r="E13" i="2"/>
  <c r="K13" i="2"/>
  <c r="L13" i="2" s="1"/>
  <c r="F8" i="2"/>
  <c r="H6" i="2"/>
  <c r="F13" i="2" l="1"/>
  <c r="H7" i="2"/>
  <c r="M6" i="2"/>
  <c r="H8" i="7" s="1"/>
  <c r="F9" i="2"/>
  <c r="G13" i="2" l="1"/>
  <c r="H13" i="2" s="1"/>
  <c r="M13" i="2" s="1"/>
  <c r="H8" i="2"/>
  <c r="M7" i="2"/>
  <c r="H9" i="7" s="1"/>
  <c r="F10" i="2"/>
  <c r="H17" i="7" l="1"/>
  <c r="H9" i="2"/>
  <c r="M8" i="2"/>
  <c r="H10" i="7" s="1"/>
  <c r="F11" i="2"/>
  <c r="F12" i="2" l="1"/>
  <c r="H10" i="2"/>
  <c r="M9" i="2"/>
  <c r="H11" i="7" s="1"/>
  <c r="H11" i="2" l="1"/>
  <c r="M10" i="2"/>
  <c r="H12" i="7" s="1"/>
  <c r="H12" i="2" l="1"/>
  <c r="M12" i="2" s="1"/>
  <c r="H14" i="7" s="1"/>
  <c r="M11" i="2"/>
  <c r="H13"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UKWNT</author>
  </authors>
  <commentList>
    <comment ref="B3" authorId="0" shapeId="0" xr:uid="{00000000-0006-0000-0000-000001000000}">
      <text>
        <r>
          <rPr>
            <sz val="8"/>
            <color indexed="81"/>
            <rFont val="Tahoma"/>
            <family val="2"/>
          </rPr>
          <t>DCA Filter Set:
Enter the Filter Set Number.</t>
        </r>
      </text>
    </comment>
    <comment ref="E8" authorId="0" shapeId="0" xr:uid="{00000000-0006-0000-0000-000002000000}">
      <text>
        <r>
          <rPr>
            <b/>
            <sz val="8"/>
            <color indexed="81"/>
            <rFont val="Tahoma"/>
            <family val="2"/>
          </rPr>
          <t xml:space="preserve">DCA Filter Set:
</t>
        </r>
        <r>
          <rPr>
            <sz val="8"/>
            <color indexed="81"/>
            <rFont val="Tahoma"/>
            <family val="2"/>
          </rPr>
          <t xml:space="preserve">
RED 
if (MAX(DCA_Blank_1,DCA_Blank_2,DCA_Blank_3) - MIN(DCA_Blank_1,DCA_Blank_2,DCA_Blank_3)) &gt; Average_Span_Limit_Blank</t>
        </r>
      </text>
    </comment>
    <comment ref="E9" authorId="0" shapeId="0" xr:uid="{00000000-0006-0000-0000-000003000000}">
      <text>
        <r>
          <rPr>
            <b/>
            <sz val="8"/>
            <color indexed="81"/>
            <rFont val="Tahoma"/>
            <family val="2"/>
          </rPr>
          <t>DCA Filter Set:</t>
        </r>
        <r>
          <rPr>
            <sz val="8"/>
            <color indexed="81"/>
            <rFont val="Tahoma"/>
            <family val="2"/>
          </rPr>
          <t xml:space="preserve">
RED
if (MAX(DCA_High_1,DCA_High_2,DCA_High_3) - MIN(DCA_High_1,DCA_High_2,DCA_High_3)) &gt; Average_Span_Limit_High</t>
        </r>
      </text>
    </comment>
    <comment ref="G9" authorId="0" shapeId="0" xr:uid="{00000000-0006-0000-0000-000004000000}">
      <text>
        <r>
          <rPr>
            <b/>
            <sz val="8"/>
            <color indexed="81"/>
            <rFont val="Tahoma"/>
            <family val="2"/>
          </rPr>
          <t xml:space="preserve">DCA Filter Set:
</t>
        </r>
        <r>
          <rPr>
            <sz val="8"/>
            <color indexed="81"/>
            <rFont val="Tahoma"/>
            <family val="2"/>
          </rPr>
          <t xml:space="preserve">
Assigned ND High.</t>
        </r>
      </text>
    </comment>
    <comment ref="E10" authorId="0" shapeId="0" xr:uid="{00000000-0006-0000-0000-000005000000}">
      <text>
        <r>
          <rPr>
            <b/>
            <sz val="8"/>
            <color indexed="81"/>
            <rFont val="Tahoma"/>
            <family val="2"/>
          </rPr>
          <t xml:space="preserve">DCA Filter Set:
</t>
        </r>
        <r>
          <rPr>
            <sz val="8"/>
            <color indexed="81"/>
            <rFont val="Tahoma"/>
            <family val="2"/>
          </rPr>
          <t xml:space="preserve">
RED
if (MAX(DCA_Test_1,DCA_Test_2,DCA_Test_3) - MIN(DCA_Test_1,DCA_Test_2,DCA_Test_3)) &gt; Average_Span_Limit_Test</t>
        </r>
      </text>
    </comment>
    <comment ref="G10" authorId="0" shapeId="0" xr:uid="{00000000-0006-0000-0000-000006000000}">
      <text>
        <r>
          <rPr>
            <b/>
            <sz val="8"/>
            <color indexed="81"/>
            <rFont val="Tahoma"/>
            <family val="2"/>
          </rPr>
          <t xml:space="preserve">DCA Filter Set:
</t>
        </r>
        <r>
          <rPr>
            <sz val="8"/>
            <color indexed="81"/>
            <rFont val="Tahoma"/>
            <family val="2"/>
          </rPr>
          <t xml:space="preserve">
Assigned ND Test.</t>
        </r>
      </text>
    </comment>
    <comment ref="E11" authorId="0" shapeId="0" xr:uid="{00000000-0006-0000-0000-000007000000}">
      <text>
        <r>
          <rPr>
            <b/>
            <sz val="8"/>
            <color indexed="81"/>
            <rFont val="Tahoma"/>
            <family val="2"/>
          </rPr>
          <t xml:space="preserve">DCA Filter Set:
</t>
        </r>
        <r>
          <rPr>
            <sz val="8"/>
            <color indexed="81"/>
            <rFont val="Tahoma"/>
            <family val="2"/>
          </rPr>
          <t xml:space="preserve">
RED</t>
        </r>
        <r>
          <rPr>
            <b/>
            <sz val="8"/>
            <color indexed="81"/>
            <rFont val="Tahoma"/>
            <family val="2"/>
          </rPr>
          <t xml:space="preserve">
</t>
        </r>
        <r>
          <rPr>
            <sz val="8"/>
            <color indexed="81"/>
            <rFont val="Tahoma"/>
            <family val="2"/>
          </rPr>
          <t>if (MAX(DCA_Low_1,DCA_Low_2,DCA_Low_3) - MIN(DCA_Low_1,DCA_Low_2,DCA_Low_3)) &gt; Average_Span_Limit_Low</t>
        </r>
      </text>
    </comment>
    <comment ref="G11" authorId="0" shapeId="0" xr:uid="{00000000-0006-0000-0000-000008000000}">
      <text>
        <r>
          <rPr>
            <b/>
            <sz val="8"/>
            <color indexed="81"/>
            <rFont val="Tahoma"/>
            <family val="2"/>
          </rPr>
          <t xml:space="preserve">DCA Filter Set:
</t>
        </r>
        <r>
          <rPr>
            <sz val="8"/>
            <color indexed="81"/>
            <rFont val="Tahoma"/>
            <family val="2"/>
          </rPr>
          <t xml:space="preserve">
Assigned ND Low.</t>
        </r>
      </text>
    </comment>
    <comment ref="E12" authorId="0" shapeId="0" xr:uid="{00000000-0006-0000-0000-000009000000}">
      <text>
        <r>
          <rPr>
            <b/>
            <sz val="8"/>
            <color indexed="81"/>
            <rFont val="Tahoma"/>
            <family val="2"/>
          </rPr>
          <t xml:space="preserve">DCA Filter Set:
</t>
        </r>
        <r>
          <rPr>
            <sz val="8"/>
            <color indexed="81"/>
            <rFont val="Tahoma"/>
            <family val="2"/>
          </rPr>
          <t xml:space="preserve">
RED</t>
        </r>
        <r>
          <rPr>
            <b/>
            <sz val="8"/>
            <color indexed="81"/>
            <rFont val="Tahoma"/>
            <family val="2"/>
          </rPr>
          <t xml:space="preserve">
</t>
        </r>
        <r>
          <rPr>
            <sz val="8"/>
            <color indexed="81"/>
            <rFont val="Tahoma"/>
            <family val="2"/>
          </rPr>
          <t>if (MAX(DCA_Var_1,DCA_Var_2,DCA_Var_3) - MIN(DCA_Var_1,DCA_Var_2,DCA_Var_3)) &gt; Average_Span_Limit_Var</t>
        </r>
      </text>
    </comment>
    <comment ref="H12" authorId="0" shapeId="0" xr:uid="{00000000-0006-0000-0000-00000A000000}">
      <text>
        <r>
          <rPr>
            <b/>
            <sz val="8"/>
            <color indexed="81"/>
            <rFont val="Tahoma"/>
            <family val="2"/>
          </rPr>
          <t>Variable Filter</t>
        </r>
      </text>
    </comment>
    <comment ref="E13" authorId="0" shapeId="0" xr:uid="{00000000-0006-0000-0000-00000B000000}">
      <text>
        <r>
          <rPr>
            <b/>
            <sz val="8"/>
            <color indexed="81"/>
            <rFont val="Tahoma"/>
            <family val="2"/>
          </rPr>
          <t xml:space="preserve">DCA Filter Set:
</t>
        </r>
        <r>
          <rPr>
            <sz val="8"/>
            <color indexed="81"/>
            <rFont val="Tahoma"/>
            <family val="2"/>
          </rPr>
          <t xml:space="preserve">
RED</t>
        </r>
        <r>
          <rPr>
            <b/>
            <sz val="8"/>
            <color indexed="81"/>
            <rFont val="Tahoma"/>
            <family val="2"/>
          </rPr>
          <t xml:space="preserve">
</t>
        </r>
        <r>
          <rPr>
            <sz val="8"/>
            <color indexed="81"/>
            <rFont val="Tahoma"/>
            <family val="2"/>
          </rPr>
          <t>if (MAX(DCA_SBlank_1,DCA_SBlank_2,DCA_SBlank_3) - MIN(DCA_SBlank_1,DCA_SBlank_2,DCA_SBlank_3)) &gt; Average_Span_Limit_SBlank</t>
        </r>
      </text>
    </comment>
    <comment ref="E14" authorId="0" shapeId="0" xr:uid="{00000000-0006-0000-0000-00000C000000}">
      <text>
        <r>
          <rPr>
            <b/>
            <sz val="8"/>
            <color indexed="81"/>
            <rFont val="Tahoma"/>
            <family val="2"/>
          </rPr>
          <t xml:space="preserve">DCA Filter Set:
</t>
        </r>
        <r>
          <rPr>
            <sz val="8"/>
            <color indexed="81"/>
            <rFont val="Tahoma"/>
            <family val="2"/>
          </rPr>
          <t xml:space="preserve">
RED</t>
        </r>
        <r>
          <rPr>
            <b/>
            <sz val="8"/>
            <color indexed="81"/>
            <rFont val="Tahoma"/>
            <family val="2"/>
          </rPr>
          <t xml:space="preserve">
</t>
        </r>
        <r>
          <rPr>
            <sz val="8"/>
            <color indexed="81"/>
            <rFont val="Tahoma"/>
            <family val="2"/>
          </rPr>
          <t>if (MAX(DCA_Scatter_1,DCA_Scatter_2,DCA_Scatter_3) -MIN(DCA_Scatter_1,DCA_Scatter_2,DCA_Scatter_3)) &gt; Average_Span_Limit_Scatter</t>
        </r>
      </text>
    </comment>
    <comment ref="G14" authorId="0" shapeId="0" xr:uid="{00000000-0006-0000-0000-00000D000000}">
      <text>
        <r>
          <rPr>
            <b/>
            <sz val="8"/>
            <color indexed="81"/>
            <rFont val="Tahoma"/>
            <family val="2"/>
          </rPr>
          <t xml:space="preserve">DCA Filter Set:
</t>
        </r>
        <r>
          <rPr>
            <sz val="8"/>
            <color indexed="81"/>
            <rFont val="Tahoma"/>
            <family val="2"/>
          </rPr>
          <t xml:space="preserve">
Assigned Scatter.</t>
        </r>
      </text>
    </comment>
    <comment ref="E15" authorId="0" shapeId="0" xr:uid="{00000000-0006-0000-0000-00000E000000}">
      <text>
        <r>
          <rPr>
            <b/>
            <sz val="8"/>
            <color indexed="81"/>
            <rFont val="Tahoma"/>
            <family val="2"/>
          </rPr>
          <t xml:space="preserve">DCA Filter Set:
</t>
        </r>
        <r>
          <rPr>
            <sz val="8"/>
            <color indexed="81"/>
            <rFont val="Tahoma"/>
            <family val="2"/>
          </rPr>
          <t xml:space="preserve">
RED</t>
        </r>
        <r>
          <rPr>
            <b/>
            <sz val="8"/>
            <color indexed="81"/>
            <rFont val="Tahoma"/>
            <family val="2"/>
          </rPr>
          <t xml:space="preserve">
</t>
        </r>
        <r>
          <rPr>
            <sz val="8"/>
            <color indexed="81"/>
            <rFont val="Tahoma"/>
            <family val="2"/>
          </rPr>
          <t>if (MAX(DCA_Norm_1,DCA_Norm_2,DCA_Norm_3) - MIN(DCA_Norm_1,DCA_Norm_2,DCA_Norm_3)) &gt; Average_Span_Limit_Norm</t>
        </r>
      </text>
    </comment>
    <comment ref="G15" authorId="0" shapeId="0" xr:uid="{00000000-0006-0000-0000-00000F000000}">
      <text>
        <r>
          <rPr>
            <b/>
            <sz val="8"/>
            <color indexed="81"/>
            <rFont val="Tahoma"/>
            <family val="2"/>
          </rPr>
          <t xml:space="preserve">DCA Filter Set:
</t>
        </r>
        <r>
          <rPr>
            <sz val="8"/>
            <color indexed="81"/>
            <rFont val="Tahoma"/>
            <family val="2"/>
          </rPr>
          <t xml:space="preserve">
Target Absorbance for Normalization Value.</t>
        </r>
        <r>
          <rPr>
            <sz val="8"/>
            <color indexed="81"/>
            <rFont val="Tahoma"/>
            <family val="2"/>
          </rPr>
          <t xml:space="preserve">
</t>
        </r>
      </text>
    </comment>
    <comment ref="G16" authorId="0" shapeId="0" xr:uid="{00000000-0006-0000-0000-000010000000}">
      <text>
        <r>
          <rPr>
            <b/>
            <sz val="8"/>
            <color indexed="81"/>
            <rFont val="Tahoma"/>
            <family val="2"/>
          </rPr>
          <t xml:space="preserve">DCA Filter Set:
</t>
        </r>
        <r>
          <rPr>
            <sz val="8"/>
            <color indexed="81"/>
            <rFont val="Tahoma"/>
            <family val="2"/>
          </rPr>
          <t xml:space="preserve">
Target Normalization Absorbance.</t>
        </r>
      </text>
    </comment>
    <comment ref="G17" authorId="0" shapeId="0" xr:uid="{00000000-0006-0000-0000-000011000000}">
      <text>
        <r>
          <rPr>
            <b/>
            <sz val="8"/>
            <color indexed="81"/>
            <rFont val="Tahoma"/>
            <family val="2"/>
          </rPr>
          <t xml:space="preserve">DCA Filter Set:
</t>
        </r>
        <r>
          <rPr>
            <sz val="8"/>
            <color indexed="81"/>
            <rFont val="Tahoma"/>
            <family val="2"/>
          </rPr>
          <t xml:space="preserve">
Normalization Serial Number.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UKWNT</author>
  </authors>
  <commentList>
    <comment ref="C6" authorId="0" shapeId="0" xr:uid="{00000000-0006-0000-0100-000001000000}">
      <text>
        <r>
          <rPr>
            <b/>
            <sz val="8"/>
            <color indexed="81"/>
            <rFont val="Tahoma"/>
            <family val="2"/>
          </rPr>
          <t xml:space="preserve">DCA Filter Set:
</t>
        </r>
        <r>
          <rPr>
            <sz val="8"/>
            <color indexed="81"/>
            <rFont val="Tahoma"/>
            <family val="2"/>
          </rPr>
          <t>Assigned value from 'A1CSTD' file.</t>
        </r>
      </text>
    </comment>
    <comment ref="D6" authorId="0" shapeId="0" xr:uid="{00000000-0006-0000-0100-000002000000}">
      <text>
        <r>
          <rPr>
            <b/>
            <sz val="8"/>
            <color indexed="81"/>
            <rFont val="Tahoma"/>
            <family val="2"/>
          </rPr>
          <t xml:space="preserve">DCA Filter Set:
</t>
        </r>
        <r>
          <rPr>
            <sz val="8"/>
            <color indexed="81"/>
            <rFont val="Tahoma"/>
            <family val="2"/>
          </rPr>
          <t>Blank Uncorrected.</t>
        </r>
      </text>
    </comment>
    <comment ref="C7" authorId="0" shapeId="0" xr:uid="{00000000-0006-0000-0100-000003000000}">
      <text>
        <r>
          <rPr>
            <b/>
            <sz val="8"/>
            <color indexed="81"/>
            <rFont val="Tahoma"/>
            <family val="2"/>
          </rPr>
          <t xml:space="preserve">DCA Filter Set:
</t>
        </r>
        <r>
          <rPr>
            <sz val="8"/>
            <color indexed="81"/>
            <rFont val="Tahoma"/>
            <family val="2"/>
          </rPr>
          <t>Assigned value from 'A1CSTD' file.</t>
        </r>
      </text>
    </comment>
    <comment ref="D7" authorId="0" shapeId="0" xr:uid="{00000000-0006-0000-0100-000004000000}">
      <text>
        <r>
          <rPr>
            <b/>
            <sz val="8"/>
            <color indexed="81"/>
            <rFont val="Tahoma"/>
            <family val="2"/>
          </rPr>
          <t xml:space="preserve">DCA Filter Set:
</t>
        </r>
        <r>
          <rPr>
            <sz val="8"/>
            <color indexed="81"/>
            <rFont val="Tahoma"/>
            <family val="2"/>
          </rPr>
          <t>Blank Uncorrected.</t>
        </r>
      </text>
    </comment>
    <comment ref="C8" authorId="0" shapeId="0" xr:uid="{00000000-0006-0000-0100-000005000000}">
      <text>
        <r>
          <rPr>
            <b/>
            <sz val="8"/>
            <color indexed="81"/>
            <rFont val="Tahoma"/>
            <family val="2"/>
          </rPr>
          <t xml:space="preserve">DCA Filter Set:
</t>
        </r>
        <r>
          <rPr>
            <sz val="8"/>
            <color indexed="81"/>
            <rFont val="Tahoma"/>
            <family val="2"/>
          </rPr>
          <t>Assigned value from 'A1CSTD' file.</t>
        </r>
      </text>
    </comment>
    <comment ref="D8" authorId="0" shapeId="0" xr:uid="{00000000-0006-0000-0100-000006000000}">
      <text>
        <r>
          <rPr>
            <b/>
            <sz val="8"/>
            <color indexed="81"/>
            <rFont val="Tahoma"/>
            <family val="2"/>
          </rPr>
          <t xml:space="preserve">DCA Filter Set:
</t>
        </r>
        <r>
          <rPr>
            <sz val="8"/>
            <color indexed="81"/>
            <rFont val="Tahoma"/>
            <family val="2"/>
          </rPr>
          <t>Blank Uncorrected.</t>
        </r>
      </text>
    </comment>
    <comment ref="C11" authorId="0" shapeId="0" xr:uid="{00000000-0006-0000-0100-000007000000}">
      <text>
        <r>
          <rPr>
            <b/>
            <sz val="8"/>
            <color indexed="81"/>
            <rFont val="Tahoma"/>
            <family val="2"/>
          </rPr>
          <t xml:space="preserve">DCA Filter Set:
</t>
        </r>
        <r>
          <rPr>
            <sz val="8"/>
            <color indexed="81"/>
            <rFont val="Tahoma"/>
            <family val="2"/>
          </rPr>
          <t>Assigned value from 'A1CSTD' file.</t>
        </r>
      </text>
    </comment>
    <comment ref="D11" authorId="0" shapeId="0" xr:uid="{00000000-0006-0000-0100-000008000000}">
      <text>
        <r>
          <rPr>
            <b/>
            <sz val="8"/>
            <color indexed="81"/>
            <rFont val="Tahoma"/>
            <family val="2"/>
          </rPr>
          <t xml:space="preserve">DCA Filter Set:
</t>
        </r>
        <r>
          <rPr>
            <sz val="8"/>
            <color indexed="81"/>
            <rFont val="Tahoma"/>
            <family val="2"/>
          </rPr>
          <t>Blank Corrected.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UKWNT</author>
  </authors>
  <commentList>
    <comment ref="D8" authorId="0" shapeId="0" xr:uid="{00000000-0006-0000-0300-000001000000}">
      <text>
        <r>
          <rPr>
            <b/>
            <sz val="8"/>
            <color indexed="81"/>
            <rFont val="Tahoma"/>
            <family val="2"/>
          </rPr>
          <t>DCA Filter Set:</t>
        </r>
        <r>
          <rPr>
            <sz val="8"/>
            <color indexed="81"/>
            <rFont val="Tahoma"/>
            <family val="2"/>
          </rPr>
          <t xml:space="preserve">
UQG NPL traceable result.
If a blank filter is replaced, then all the filters on that filter set must be resassigned (blank filter will mean reassign the ND filters and scatter blank will mean reassign the scatter filter. 
See TP 71503012.02, page 6 of 9 , section 8.3.4.
Approved supplier UQG filters Ltd. Cambridge, for all the filters apart from normalisation filter, where supplier is P.O.C. in USA.</t>
        </r>
      </text>
    </comment>
    <comment ref="H8" authorId="0" shapeId="0" xr:uid="{00000000-0006-0000-0300-000002000000}">
      <text>
        <r>
          <rPr>
            <b/>
            <sz val="8"/>
            <color indexed="81"/>
            <rFont val="Tahoma"/>
            <family val="2"/>
          </rPr>
          <t xml:space="preserve">DCA Filter Set:
</t>
        </r>
        <r>
          <rPr>
            <sz val="8"/>
            <color indexed="81"/>
            <rFont val="Tahoma"/>
            <family val="2"/>
          </rPr>
          <t xml:space="preserve">
Average_Span_Limit_Blank</t>
        </r>
      </text>
    </comment>
    <comment ref="D9" authorId="0" shapeId="0" xr:uid="{00000000-0006-0000-0300-000003000000}">
      <text>
        <r>
          <rPr>
            <b/>
            <sz val="8"/>
            <color indexed="81"/>
            <rFont val="Tahoma"/>
            <family val="2"/>
          </rPr>
          <t xml:space="preserve">DCA Filter Set:
</t>
        </r>
        <r>
          <rPr>
            <sz val="8"/>
            <color indexed="81"/>
            <rFont val="Tahoma"/>
            <family val="2"/>
          </rPr>
          <t xml:space="preserve">UQG NPL traceable result.
</t>
        </r>
      </text>
    </comment>
    <comment ref="D10" authorId="0" shapeId="0" xr:uid="{00000000-0006-0000-0300-000004000000}">
      <text>
        <r>
          <rPr>
            <b/>
            <sz val="8"/>
            <color indexed="81"/>
            <rFont val="Tahoma"/>
            <family val="2"/>
          </rPr>
          <t xml:space="preserve">DCA Filter Set:
</t>
        </r>
        <r>
          <rPr>
            <sz val="8"/>
            <color indexed="81"/>
            <rFont val="Tahoma"/>
            <family val="2"/>
          </rPr>
          <t>UQG NPL traceable result.</t>
        </r>
        <r>
          <rPr>
            <b/>
            <sz val="8"/>
            <color indexed="81"/>
            <rFont val="Tahoma"/>
            <family val="2"/>
          </rPr>
          <t xml:space="preserve">
</t>
        </r>
      </text>
    </comment>
    <comment ref="D11" authorId="0" shapeId="0" xr:uid="{00000000-0006-0000-0300-000005000000}">
      <text>
        <r>
          <rPr>
            <b/>
            <sz val="8"/>
            <color indexed="81"/>
            <rFont val="Tahoma"/>
            <family val="2"/>
          </rPr>
          <t xml:space="preserve">DCA Filter Set:
</t>
        </r>
        <r>
          <rPr>
            <sz val="8"/>
            <color indexed="81"/>
            <rFont val="Tahoma"/>
            <family val="2"/>
          </rPr>
          <t>UQG NPL traceable result.</t>
        </r>
        <r>
          <rPr>
            <b/>
            <sz val="8"/>
            <color indexed="81"/>
            <rFont val="Tahoma"/>
            <family val="2"/>
          </rPr>
          <t xml:space="preserve">
</t>
        </r>
      </text>
    </comment>
    <comment ref="D13" authorId="0" shapeId="0" xr:uid="{00000000-0006-0000-0300-000006000000}">
      <text>
        <r>
          <rPr>
            <b/>
            <sz val="8"/>
            <color indexed="81"/>
            <rFont val="Tahoma"/>
            <family val="2"/>
          </rPr>
          <t xml:space="preserve">DCA Filter Set:
</t>
        </r>
        <r>
          <rPr>
            <sz val="8"/>
            <color indexed="81"/>
            <rFont val="Tahoma"/>
            <family val="2"/>
          </rPr>
          <t>UQG NPL traceable result.</t>
        </r>
        <r>
          <rPr>
            <b/>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Bayer Standard User</author>
    <author>UKWNT</author>
  </authors>
  <commentList>
    <comment ref="B4" authorId="0" shapeId="0" xr:uid="{00000000-0006-0000-0400-000001000000}">
      <text>
        <r>
          <rPr>
            <b/>
            <sz val="8"/>
            <color indexed="81"/>
            <rFont val="Tahoma"/>
            <family val="2"/>
          </rPr>
          <t>DCA Filter Set:</t>
        </r>
        <r>
          <rPr>
            <sz val="8"/>
            <color indexed="81"/>
            <rFont val="Tahoma"/>
            <family val="2"/>
          </rPr>
          <t xml:space="preserve">
document reference 7150300-2 revision 02.10
page 9 of 19</t>
        </r>
      </text>
    </comment>
    <comment ref="B5" authorId="0" shapeId="0" xr:uid="{00000000-0006-0000-0400-000002000000}">
      <text>
        <r>
          <rPr>
            <b/>
            <sz val="8"/>
            <color indexed="81"/>
            <rFont val="Tahoma"/>
            <family val="2"/>
          </rPr>
          <t>DCA Filter Set:</t>
        </r>
        <r>
          <rPr>
            <sz val="8"/>
            <color indexed="81"/>
            <rFont val="Tahoma"/>
            <family val="2"/>
          </rPr>
          <t xml:space="preserve">
Instrument test cartridge ID field
1 precision and drift: blank
2 precision only
3 normalisation only
As a confirmation of the first four numbers, see document TP 71503012.02, page 3 of 19.</t>
        </r>
      </text>
    </comment>
    <comment ref="C5" authorId="0" shapeId="0" xr:uid="{00000000-0006-0000-0400-000003000000}">
      <text>
        <r>
          <rPr>
            <b/>
            <sz val="8"/>
            <color indexed="81"/>
            <rFont val="Tahoma"/>
            <family val="2"/>
          </rPr>
          <t>DCA Filter Set:</t>
        </r>
        <r>
          <rPr>
            <sz val="8"/>
            <color indexed="81"/>
            <rFont val="Tahoma"/>
            <family val="2"/>
          </rPr>
          <t xml:space="preserve">
filter 030. it was 1 for all the filters, apart from normalisation
</t>
        </r>
      </text>
    </comment>
    <comment ref="D5" authorId="0" shapeId="0" xr:uid="{00000000-0006-0000-0400-000004000000}">
      <text>
        <r>
          <rPr>
            <b/>
            <sz val="8"/>
            <color indexed="81"/>
            <rFont val="Tahoma"/>
            <family val="2"/>
          </rPr>
          <t>DCA Filter Set:</t>
        </r>
        <r>
          <rPr>
            <sz val="8"/>
            <color indexed="81"/>
            <rFont val="Tahoma"/>
            <family val="2"/>
          </rPr>
          <t xml:space="preserve">
see barcode of filter 030. 
it was 3 for all the filters apart from the normalisation</t>
        </r>
      </text>
    </comment>
    <comment ref="E5" authorId="0" shapeId="0" xr:uid="{00000000-0006-0000-0400-000005000000}">
      <text>
        <r>
          <rPr>
            <b/>
            <sz val="8"/>
            <color indexed="81"/>
            <rFont val="Tahoma"/>
            <family val="2"/>
          </rPr>
          <t>DCA Filter Set:</t>
        </r>
        <r>
          <rPr>
            <sz val="8"/>
            <color indexed="81"/>
            <rFont val="Tahoma"/>
            <family val="2"/>
          </rPr>
          <t xml:space="preserve">
Test filter type
see page 9 of 19 on document
"Manufacturing test system specification" reference 7150300-2 revision 02.10</t>
        </r>
      </text>
    </comment>
    <comment ref="F5" authorId="0" shapeId="0" xr:uid="{00000000-0006-0000-0400-000006000000}">
      <text>
        <r>
          <rPr>
            <b/>
            <sz val="8"/>
            <color indexed="81"/>
            <rFont val="Tahoma"/>
            <family val="2"/>
          </rPr>
          <t>DCA Filter Set:</t>
        </r>
        <r>
          <rPr>
            <sz val="8"/>
            <color indexed="81"/>
            <rFont val="Tahoma"/>
            <family val="2"/>
          </rPr>
          <t xml:space="preserve">
variale 3 digit field used to define optical filter standards test set. Range was originally 011 to 999. DCA Vantage uses 500 up to 995.</t>
        </r>
      </text>
    </comment>
    <comment ref="I5" authorId="0" shapeId="0" xr:uid="{00000000-0006-0000-0400-000007000000}">
      <text>
        <r>
          <rPr>
            <b/>
            <sz val="8"/>
            <color indexed="81"/>
            <rFont val="Tahoma"/>
            <family val="2"/>
          </rPr>
          <t>DCA Filter Set:</t>
        </r>
        <r>
          <rPr>
            <sz val="8"/>
            <color indexed="81"/>
            <rFont val="Tahoma"/>
            <family val="2"/>
          </rPr>
          <t xml:space="preserve">
fixed 4 digit field filled by requirement</t>
        </r>
      </text>
    </comment>
    <comment ref="M5" authorId="0" shapeId="0" xr:uid="{00000000-0006-0000-0400-000008000000}">
      <text>
        <r>
          <rPr>
            <b/>
            <sz val="8"/>
            <color indexed="81"/>
            <rFont val="Tahoma"/>
            <family val="2"/>
          </rPr>
          <t>DCA Filter Set:</t>
        </r>
        <r>
          <rPr>
            <sz val="8"/>
            <color indexed="81"/>
            <rFont val="Tahoma"/>
            <family val="2"/>
          </rPr>
          <t xml:space="preserve">
CheckSum for internal message comes from
Document manufacturing Test System Specification Reference 7150300-2 revision 02.10
page 8 of 19 
However, this is checksum for barcodes, from the international standard "Interleaved 2 of 5" checksum for barcodes. Formula included on the spreadsheet. (Siemens contact: Dave Crisp).
</t>
        </r>
      </text>
    </comment>
    <comment ref="M13" authorId="0" shapeId="0" xr:uid="{00000000-0006-0000-0400-000009000000}">
      <text>
        <r>
          <rPr>
            <b/>
            <sz val="8"/>
            <color indexed="81"/>
            <rFont val="Tahoma"/>
            <family val="2"/>
          </rPr>
          <t>DCA Filter Set:</t>
        </r>
        <r>
          <rPr>
            <sz val="8"/>
            <color indexed="81"/>
            <rFont val="Tahoma"/>
            <family val="2"/>
          </rPr>
          <t xml:space="preserve">
document reference 7150300-2 revision 02.10
page 10 of 19</t>
        </r>
      </text>
    </comment>
    <comment ref="E26" authorId="1" shapeId="0" xr:uid="{00000000-0006-0000-0400-00000A000000}">
      <text>
        <r>
          <rPr>
            <b/>
            <sz val="8"/>
            <color indexed="81"/>
            <rFont val="Tahoma"/>
            <family val="2"/>
          </rPr>
          <t xml:space="preserve">DCA Filter Set:
</t>
        </r>
        <r>
          <rPr>
            <sz val="8"/>
            <color indexed="81"/>
            <rFont val="Tahoma"/>
            <family val="2"/>
          </rPr>
          <t xml:space="preserve">filter identification number field
How can we find out which ones has Mishiwaka already used?
Choice is from 0000 up to 9999 but they have used 2556 and 8079, so I don’t know if I can start at 5001.
Answer: email from Brent Carl, 10/02/07. Start at number 8110. Alll the previous numbers have been used up when microalbumin was introduced in 1998.
LEAVE from 8120 included until 8499 included for Brent Carl in Mishiwaka (380 numbers more)  03/04/07 JFR
</t>
        </r>
        <r>
          <rPr>
            <b/>
            <sz val="8"/>
            <color indexed="81"/>
            <rFont val="Tahoma"/>
            <family val="2"/>
          </rPr>
          <t>Filter Set      Normalisation Serial Number</t>
        </r>
        <r>
          <rPr>
            <sz val="8"/>
            <color indexed="81"/>
            <rFont val="Tahoma"/>
            <family val="2"/>
          </rPr>
          <t xml:space="preserve">
501               =  8110 to
510               =  8119
then
511               =  8511 From here on the Normalisation Serial Number will be the Filter Set Number + 8000 i.e. Filter Set 538 will have the Normalisation Serial Number as 8538.
This will leave numbers 8500 to 8510 unused - Tony Warren - 28/01/2008.</t>
        </r>
      </text>
    </comment>
  </commentList>
</comments>
</file>

<file path=xl/sharedStrings.xml><?xml version="1.0" encoding="utf-8"?>
<sst xmlns="http://schemas.openxmlformats.org/spreadsheetml/2006/main" count="129" uniqueCount="99">
  <si>
    <t>High</t>
  </si>
  <si>
    <t>Low</t>
  </si>
  <si>
    <t>BARCODE numbers</t>
  </si>
  <si>
    <t>instrument test cartridge ID field:1 precision and drift, blank, 2 precision only, 3 normalisation only</t>
  </si>
  <si>
    <t>3 for all the filters apart from the normalisation = 0</t>
  </si>
  <si>
    <t>test filter type</t>
  </si>
  <si>
    <t>5 6 7</t>
  </si>
  <si>
    <t>variable 3 digit field used to define optical filter standards test set.</t>
  </si>
  <si>
    <t>8 9 10 11</t>
  </si>
  <si>
    <t>fixed 4 digit field filled by requirement</t>
  </si>
  <si>
    <t>checksum for barcodes</t>
  </si>
  <si>
    <t>fixed 4 digit field filled by requirement, for normalisation filter = filter identification number field</t>
  </si>
  <si>
    <t>4 5 6 7</t>
  </si>
  <si>
    <t>for normalisation filter = expected absorbance, format of x.xxx</t>
  </si>
  <si>
    <t>1 for all the filters, apart from normalisation = 2</t>
  </si>
  <si>
    <t>n/a</t>
  </si>
  <si>
    <t>ND Blank</t>
  </si>
  <si>
    <t>Scatter</t>
  </si>
  <si>
    <t>ND High</t>
  </si>
  <si>
    <t>ND Test</t>
  </si>
  <si>
    <t>ND Low</t>
  </si>
  <si>
    <t>Filter Set</t>
  </si>
  <si>
    <t>Colour Key</t>
  </si>
  <si>
    <t xml:space="preserve">Normalisation Serial Number = </t>
  </si>
  <si>
    <t>VAR</t>
  </si>
  <si>
    <t>S.Blank</t>
  </si>
  <si>
    <t>Norm.</t>
  </si>
  <si>
    <t xml:space="preserve">Target Absorbance for Norm. = </t>
  </si>
  <si>
    <t>Print set of filter labels - &gt;</t>
  </si>
  <si>
    <t>Enter Filter Set Number -&gt;</t>
  </si>
  <si>
    <t>Print box label -&gt;</t>
  </si>
  <si>
    <t>Data sent to Labels</t>
  </si>
  <si>
    <t>Checksum</t>
  </si>
  <si>
    <t>Reference data only</t>
  </si>
  <si>
    <t xml:space="preserve">PE00/5703 = </t>
  </si>
  <si>
    <t xml:space="preserve">PE00/5704 = </t>
  </si>
  <si>
    <t>Assigned Normalisation Filters</t>
  </si>
  <si>
    <t xml:space="preserve">NPL Blank value = </t>
  </si>
  <si>
    <t>ND Blank -&gt;</t>
  </si>
  <si>
    <t>ND High -&gt;</t>
  </si>
  <si>
    <t>ND Test -&gt;</t>
  </si>
  <si>
    <t>ND Low -&gt;</t>
  </si>
  <si>
    <t>Scatter Blank -&gt;</t>
  </si>
  <si>
    <t xml:space="preserve"> Values from NPL certificate</t>
  </si>
  <si>
    <t>ND Var. -&gt;</t>
  </si>
  <si>
    <t>Scatter -&gt;</t>
  </si>
  <si>
    <t>Normalisation -&gt;</t>
  </si>
  <si>
    <t>Test System Limits</t>
  </si>
  <si>
    <t>+/-</t>
  </si>
  <si>
    <t>Reference Filter Set =</t>
  </si>
  <si>
    <t>DCA Instrument offset test</t>
  </si>
  <si>
    <t>Filter passed test</t>
  </si>
  <si>
    <t>Filter FAILED - investigate filter</t>
  </si>
  <si>
    <t>Blank adjusted value</t>
  </si>
  <si>
    <t>Enter the following readings from DCA Vantage</t>
  </si>
  <si>
    <t>Reference data</t>
  </si>
  <si>
    <t>Barcode Checksum number</t>
  </si>
  <si>
    <t>Reading 1</t>
  </si>
  <si>
    <t>Reading 3</t>
  </si>
  <si>
    <t>Reading 2</t>
  </si>
  <si>
    <t>Data Average</t>
  </si>
  <si>
    <t>Filter Passed Test</t>
  </si>
  <si>
    <t>Average</t>
  </si>
  <si>
    <t>Measured Transmittance values as reported by DCA Vantage instrument.</t>
  </si>
  <si>
    <t>Blank corrected T.</t>
  </si>
  <si>
    <t>Barcode Checksum.</t>
  </si>
  <si>
    <t>Absorbance value using Average Mean T reading =</t>
  </si>
  <si>
    <t xml:space="preserve">Normalisation = </t>
  </si>
  <si>
    <t>Average Mean T readings</t>
  </si>
  <si>
    <t>S Blank =</t>
  </si>
  <si>
    <t>Average Readings Delta New Filter Set</t>
  </si>
  <si>
    <t>Average Readings Delta Reference Filter Set</t>
  </si>
  <si>
    <t>Blank Adjusted (NotBC_)</t>
  </si>
  <si>
    <t xml:space="preserve">*High = </t>
  </si>
  <si>
    <t xml:space="preserve">*Test = </t>
  </si>
  <si>
    <t xml:space="preserve">*Low = </t>
  </si>
  <si>
    <t xml:space="preserve">*Scatter = </t>
  </si>
  <si>
    <t>Var. =</t>
  </si>
  <si>
    <t>Assigned Absorbance =</t>
  </si>
  <si>
    <t>for Normalisation filter</t>
  </si>
  <si>
    <t>Variable -&gt;</t>
  </si>
  <si>
    <t>Correct Filter Check.</t>
  </si>
  <si>
    <t>Limits for correct filter check.</t>
  </si>
  <si>
    <t>Normalization Mean T -&gt;</t>
  </si>
  <si>
    <t>Print Normalization filter label -&gt;</t>
  </si>
  <si>
    <t>Reference Procedure:
MFWI-00074-SUD</t>
  </si>
  <si>
    <t>Assigned values for Filter Set:</t>
  </si>
  <si>
    <t>Mean T readings from DCA Instrument Serial Number:</t>
  </si>
  <si>
    <t>* Assigned from Filter Set:</t>
  </si>
  <si>
    <t>Data entry Operator</t>
  </si>
  <si>
    <t>Data entry Engineer ONLY</t>
  </si>
  <si>
    <t>DCA Filter Set Spreadsheet Rev. 1.0</t>
  </si>
  <si>
    <t>Data entry Engineer</t>
  </si>
  <si>
    <t>Filter FAILED - 
Investigate Filter / Reading</t>
  </si>
  <si>
    <t>Author:</t>
  </si>
  <si>
    <t>Approver:</t>
  </si>
  <si>
    <t>Sign-Off Sheet for:</t>
  </si>
  <si>
    <t>Filter Set #</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</si>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</sst>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0000"/>
    <numFmt numFmtId="167" formatCode="000"/>
    <numFmt numFmtId="168" formatCode="[$-F800]dddd\,\ mmmm\ dd\,\ yyyy"/>
  </numFmts>
  <fonts count="12" x14ac:knownFonts="1">
    <font>
      <sz val="10"/>
      <name val="Arial"/>
    </font>
    <font>
      <b/>
      <sz val="8"/>
      <color indexed="81"/>
      <name val="Tahoma"/>
      <family val="2"/>
    </font>
    <font>
      <sz val="8"/>
      <color indexed="81"/>
      <name val="Tahoma"/>
      <family val="2"/>
    </font>
    <font>
      <sz val="10"/>
      <name val="Arial"/>
      <family val="2"/>
    </font>
    <font>
      <b/>
      <sz val="10"/>
      <color indexed="12"/>
      <name val="Arial"/>
      <family val="2"/>
    </font>
    <font>
      <sz val="8"/>
      <name val="Arial"/>
      <family val="2"/>
    </font>
    <font>
      <b/>
      <sz val="10"/>
      <name val="Arial"/>
      <family val="2"/>
    </font>
    <font>
      <sz val="12"/>
      <name val="Arial"/>
      <family val="2"/>
    </font>
    <font>
      <b/>
      <sz val="12"/>
      <name val="Arial"/>
      <family val="2"/>
    </font>
    <font>
      <sz val="12"/>
      <color rgb="FF000000"/>
      <name val="Calibri"/>
      <family val="2"/>
    </font>
    <font>
      <b/>
      <sz val="14"/>
      <name val="Arial"/>
      <family val="2"/>
    </font>
    <font>
      <b/>
      <sz val="12"/>
      <color rgb="FF000000"/>
      <name val="Calibri"/>
      <family val="2"/>
    </font>
  </fonts>
  <fills count="15">
    <fill>
      <patternFill patternType="none"/>
    </fill>
    <fill>
      <patternFill patternType="gray125"/>
    </fill>
    <fill>
      <patternFill patternType="solid">
        <fgColor indexed="13"/>
        <bgColor indexed="64"/>
      </patternFill>
    </fill>
    <fill>
      <patternFill patternType="solid">
        <fgColor indexed="44"/>
        <bgColor indexed="64"/>
      </patternFill>
    </fill>
    <fill>
      <patternFill patternType="solid">
        <fgColor indexed="47"/>
        <bgColor indexed="64"/>
      </patternFill>
    </fill>
    <fill>
      <patternFill patternType="solid">
        <fgColor indexed="41"/>
        <bgColor indexed="64"/>
      </patternFill>
    </fill>
    <fill>
      <patternFill patternType="solid">
        <fgColor indexed="42"/>
        <bgColor indexed="64"/>
      </patternFill>
    </fill>
    <fill>
      <patternFill patternType="solid">
        <fgColor indexed="46"/>
        <bgColor indexed="64"/>
      </patternFill>
    </fill>
    <fill>
      <patternFill patternType="solid">
        <fgColor indexed="43"/>
        <bgColor indexed="64"/>
      </patternFill>
    </fill>
    <fill>
      <patternFill patternType="solid">
        <fgColor indexed="22"/>
        <bgColor indexed="64"/>
      </patternFill>
    </fill>
    <fill>
      <patternFill patternType="solid">
        <fgColor indexed="40"/>
        <bgColor indexed="64"/>
      </patternFill>
    </fill>
    <fill>
      <patternFill patternType="solid">
        <fgColor indexed="11"/>
        <bgColor indexed="64"/>
      </patternFill>
    </fill>
    <fill>
      <patternFill patternType="solid">
        <fgColor indexed="10"/>
        <bgColor indexed="64"/>
      </patternFill>
    </fill>
    <fill>
      <patternFill patternType="solid">
        <fgColor indexed="15"/>
        <bgColor indexed="64"/>
      </patternFill>
    </fill>
    <fill>
      <patternFill patternType="solid">
        <fgColor rgb="FFFFC00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1">
    <xf numFmtId="0" fontId="0" fillId="0" borderId="0"/>
  </cellStyleXfs>
  <cellXfs count="193">
    <xf numFmtId="0" fontId="0" fillId="0" borderId="0" xfId="0"/>
    <xf numFmtId="0" fontId="3" fillId="0" borderId="0" xfId="0" applyFont="1"/>
    <xf numFmtId="0" fontId="3" fillId="0" borderId="0" xfId="0" applyFont="1" applyBorder="1" applyAlignment="1">
      <alignment horizontal="center"/>
    </xf>
    <xf numFmtId="0" fontId="4" fillId="0" borderId="0" xfId="0" applyFont="1" applyBorder="1" applyAlignment="1">
      <alignment horizontal="left"/>
    </xf>
    <xf numFmtId="0" fontId="3" fillId="0" borderId="0" xfId="0" applyFont="1" applyBorder="1"/>
    <xf numFmtId="0" fontId="4" fillId="2" borderId="0" xfId="0" applyFont="1" applyFill="1" applyBorder="1" applyAlignment="1">
      <alignment horizontal="left"/>
    </xf>
    <xf numFmtId="0" fontId="4" fillId="3" borderId="0" xfId="0" applyFont="1" applyFill="1" applyBorder="1" applyAlignment="1">
      <alignment horizontal="left"/>
    </xf>
    <xf numFmtId="0" fontId="4" fillId="4" borderId="0" xfId="0" applyFont="1" applyFill="1" applyBorder="1" applyAlignment="1">
      <alignment horizontal="left"/>
    </xf>
    <xf numFmtId="0" fontId="4" fillId="5" borderId="0" xfId="0" applyFont="1" applyFill="1" applyBorder="1" applyAlignment="1">
      <alignment horizontal="left"/>
    </xf>
    <xf numFmtId="0" fontId="4" fillId="6" borderId="0" xfId="0" applyFont="1" applyFill="1" applyBorder="1" applyAlignment="1">
      <alignment horizontal="left"/>
    </xf>
    <xf numFmtId="0" fontId="4" fillId="7" borderId="0" xfId="0" applyFont="1" applyFill="1" applyBorder="1" applyAlignment="1">
      <alignment horizontal="left"/>
    </xf>
    <xf numFmtId="0" fontId="4" fillId="0" borderId="1" xfId="0" applyFont="1" applyBorder="1" applyAlignment="1">
      <alignment horizontal="center"/>
    </xf>
    <xf numFmtId="0" fontId="4" fillId="8" borderId="1" xfId="0" applyFont="1" applyFill="1" applyBorder="1" applyAlignment="1">
      <alignment horizontal="center"/>
    </xf>
    <xf numFmtId="0" fontId="4" fillId="3" borderId="1" xfId="0" applyFont="1" applyFill="1" applyBorder="1" applyAlignment="1">
      <alignment horizontal="center"/>
    </xf>
    <xf numFmtId="0" fontId="4" fillId="4" borderId="1" xfId="0" applyFont="1" applyFill="1" applyBorder="1" applyAlignment="1">
      <alignment horizontal="center"/>
    </xf>
    <xf numFmtId="0" fontId="4" fillId="5" borderId="1" xfId="0" applyFont="1" applyFill="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Fill="1" applyBorder="1" applyAlignment="1">
      <alignment horizontal="center"/>
    </xf>
    <xf numFmtId="0" fontId="3" fillId="7" borderId="4" xfId="0" applyFont="1" applyFill="1" applyBorder="1" applyAlignment="1">
      <alignment horizontal="center"/>
    </xf>
    <xf numFmtId="0" fontId="3" fillId="6" borderId="4" xfId="0" applyFont="1" applyFill="1" applyBorder="1" applyAlignment="1">
      <alignment horizontal="center"/>
    </xf>
    <xf numFmtId="0" fontId="3" fillId="3" borderId="0" xfId="0" applyFont="1" applyFill="1" applyBorder="1" applyAlignment="1">
      <alignment horizontal="center"/>
    </xf>
    <xf numFmtId="0" fontId="3" fillId="4" borderId="0" xfId="0" applyFont="1" applyFill="1" applyBorder="1" applyAlignment="1">
      <alignment horizontal="center"/>
    </xf>
    <xf numFmtId="0" fontId="3" fillId="5" borderId="5" xfId="0" applyFont="1" applyFill="1" applyBorder="1" applyAlignment="1">
      <alignment horizontal="center"/>
    </xf>
    <xf numFmtId="0" fontId="3" fillId="5" borderId="6" xfId="0" applyFont="1" applyFill="1" applyBorder="1" applyAlignment="1">
      <alignment horizontal="center"/>
    </xf>
    <xf numFmtId="0" fontId="0" fillId="0" borderId="0" xfId="0" applyAlignment="1">
      <alignment horizontal="right"/>
    </xf>
    <xf numFmtId="0" fontId="0" fillId="0" borderId="0" xfId="0" applyAlignment="1">
      <alignment horizontal="left"/>
    </xf>
    <xf numFmtId="0" fontId="0" fillId="0" borderId="0" xfId="0" applyFill="1" applyBorder="1"/>
    <xf numFmtId="165" fontId="0" fillId="0" borderId="0" xfId="0" applyNumberFormat="1" applyFill="1" applyBorder="1"/>
    <xf numFmtId="0" fontId="0" fillId="0" borderId="0" xfId="0" applyBorder="1"/>
    <xf numFmtId="164" fontId="0" fillId="0" borderId="0" xfId="0" applyNumberFormat="1" applyAlignment="1">
      <alignment horizontal="right"/>
    </xf>
    <xf numFmtId="164" fontId="0" fillId="2" borderId="1" xfId="0" applyNumberFormat="1" applyFill="1" applyBorder="1" applyAlignment="1">
      <alignment horizontal="center"/>
    </xf>
    <xf numFmtId="0" fontId="7" fillId="0" borderId="0" xfId="0" applyFont="1" applyFill="1" applyAlignment="1">
      <alignment horizontal="right"/>
    </xf>
    <xf numFmtId="49" fontId="7" fillId="0" borderId="0" xfId="0" applyNumberFormat="1" applyFont="1" applyFill="1"/>
    <xf numFmtId="0" fontId="7" fillId="0" borderId="0" xfId="0" applyFont="1" applyFill="1" applyAlignment="1">
      <alignment horizontal="left"/>
    </xf>
    <xf numFmtId="0" fontId="7" fillId="0" borderId="0" xfId="0" applyFont="1" applyFill="1"/>
    <xf numFmtId="49" fontId="8" fillId="0" borderId="0" xfId="0" applyNumberFormat="1" applyFont="1" applyFill="1"/>
    <xf numFmtId="1" fontId="8" fillId="0" borderId="0" xfId="0" applyNumberFormat="1" applyFont="1" applyFill="1" applyAlignment="1">
      <alignment horizontal="center"/>
    </xf>
    <xf numFmtId="49" fontId="7" fillId="0" borderId="0" xfId="0" applyNumberFormat="1" applyFont="1" applyFill="1" applyAlignment="1">
      <alignment horizontal="right"/>
    </xf>
    <xf numFmtId="0" fontId="8" fillId="0" borderId="0" xfId="0" applyFont="1" applyFill="1" applyAlignment="1">
      <alignment horizontal="right"/>
    </xf>
    <xf numFmtId="0" fontId="3" fillId="0" borderId="0" xfId="0" applyFont="1" applyFill="1" applyBorder="1"/>
    <xf numFmtId="0" fontId="6" fillId="0" borderId="1" xfId="0" applyFont="1" applyBorder="1" applyAlignment="1">
      <alignment horizontal="center"/>
    </xf>
    <xf numFmtId="1" fontId="6" fillId="0" borderId="1" xfId="0" applyNumberFormat="1" applyFont="1" applyBorder="1" applyAlignment="1">
      <alignment horizontal="center"/>
    </xf>
    <xf numFmtId="0" fontId="0" fillId="0" borderId="1" xfId="0" applyFill="1" applyBorder="1"/>
    <xf numFmtId="49" fontId="3" fillId="0" borderId="0" xfId="0" applyNumberFormat="1" applyFont="1" applyFill="1" applyBorder="1" applyAlignment="1">
      <alignment horizontal="right"/>
    </xf>
    <xf numFmtId="0" fontId="0" fillId="0" borderId="0" xfId="0" applyAlignment="1"/>
    <xf numFmtId="0" fontId="0" fillId="0" borderId="0" xfId="0" applyBorder="1" applyAlignment="1"/>
    <xf numFmtId="1" fontId="0" fillId="2" borderId="1" xfId="0" applyNumberFormat="1" applyFill="1" applyBorder="1" applyAlignment="1">
      <alignment horizontal="center"/>
    </xf>
    <xf numFmtId="165" fontId="0" fillId="0" borderId="1" xfId="0" applyNumberFormat="1" applyFill="1" applyBorder="1" applyAlignment="1">
      <alignment horizontal="center"/>
    </xf>
    <xf numFmtId="0" fontId="0" fillId="0" borderId="0" xfId="0" applyBorder="1" applyAlignment="1">
      <alignment horizontal="right"/>
    </xf>
    <xf numFmtId="0" fontId="6" fillId="0" borderId="0" xfId="0" applyFont="1" applyFill="1" applyAlignment="1">
      <alignment horizontal="center"/>
    </xf>
    <xf numFmtId="164" fontId="3" fillId="0" borderId="1" xfId="0" applyNumberFormat="1" applyFont="1" applyBorder="1" applyAlignment="1">
      <alignment horizontal="center" wrapText="1"/>
    </xf>
    <xf numFmtId="164" fontId="3" fillId="2" borderId="1" xfId="0" applyNumberFormat="1" applyFont="1" applyFill="1" applyBorder="1" applyAlignment="1">
      <alignment horizontal="center" wrapText="1"/>
    </xf>
    <xf numFmtId="164" fontId="3" fillId="0" borderId="1" xfId="0" applyNumberFormat="1" applyFont="1" applyFill="1" applyBorder="1" applyAlignment="1">
      <alignment horizontal="center" wrapText="1"/>
    </xf>
    <xf numFmtId="164" fontId="0" fillId="0" borderId="0" xfId="0" applyNumberFormat="1" applyFill="1" applyBorder="1" applyAlignment="1">
      <alignment horizontal="right"/>
    </xf>
    <xf numFmtId="0" fontId="0" fillId="0" borderId="0" xfId="0" applyAlignment="1">
      <alignment horizontal="center"/>
    </xf>
    <xf numFmtId="0" fontId="6" fillId="0" borderId="0" xfId="0" applyFont="1"/>
    <xf numFmtId="49" fontId="3" fillId="0" borderId="0" xfId="0" applyNumberFormat="1" applyFont="1" applyBorder="1" applyAlignment="1">
      <alignment horizontal="right"/>
    </xf>
    <xf numFmtId="49" fontId="6" fillId="0" borderId="0" xfId="0" applyNumberFormat="1" applyFont="1" applyAlignment="1">
      <alignment wrapText="1"/>
    </xf>
    <xf numFmtId="0" fontId="0" fillId="5" borderId="7" xfId="0" applyFill="1" applyBorder="1"/>
    <xf numFmtId="0" fontId="6" fillId="0" borderId="0" xfId="0" applyFont="1" applyBorder="1" applyAlignment="1">
      <alignment horizontal="center" wrapText="1"/>
    </xf>
    <xf numFmtId="2" fontId="0" fillId="0" borderId="0" xfId="0" applyNumberFormat="1"/>
    <xf numFmtId="2" fontId="0" fillId="0" borderId="1" xfId="0" applyNumberFormat="1" applyBorder="1"/>
    <xf numFmtId="0" fontId="0" fillId="9" borderId="1" xfId="0" applyFill="1" applyBorder="1"/>
    <xf numFmtId="2" fontId="0" fillId="0" borderId="0" xfId="0" applyNumberFormat="1" applyBorder="1" applyAlignment="1">
      <alignment horizontal="right"/>
    </xf>
    <xf numFmtId="0" fontId="0" fillId="0" borderId="0" xfId="0" applyFill="1" applyBorder="1" applyAlignment="1">
      <alignment horizontal="right"/>
    </xf>
    <xf numFmtId="49" fontId="6" fillId="0" borderId="0" xfId="0" applyNumberFormat="1" applyFont="1" applyAlignment="1">
      <alignment horizontal="center" wrapText="1"/>
    </xf>
    <xf numFmtId="49" fontId="6" fillId="0" borderId="0" xfId="0" applyNumberFormat="1" applyFont="1" applyBorder="1" applyAlignment="1">
      <alignment horizontal="center" wrapText="1"/>
    </xf>
    <xf numFmtId="49" fontId="6" fillId="0" borderId="1" xfId="0" applyNumberFormat="1" applyFont="1" applyBorder="1" applyAlignment="1">
      <alignment horizontal="center" wrapText="1"/>
    </xf>
    <xf numFmtId="2" fontId="6" fillId="0" borderId="1" xfId="0" applyNumberFormat="1" applyFont="1" applyBorder="1" applyAlignment="1">
      <alignment horizontal="center" wrapText="1"/>
    </xf>
    <xf numFmtId="164" fontId="0" fillId="10" borderId="1" xfId="0" applyNumberFormat="1" applyFill="1" applyBorder="1"/>
    <xf numFmtId="0" fontId="0" fillId="10" borderId="7" xfId="0" applyFill="1" applyBorder="1"/>
    <xf numFmtId="0" fontId="0" fillId="11" borderId="7" xfId="0" applyFill="1" applyBorder="1"/>
    <xf numFmtId="0" fontId="0" fillId="12" borderId="7" xfId="0" applyFill="1" applyBorder="1"/>
    <xf numFmtId="165" fontId="0" fillId="9" borderId="8" xfId="0" applyNumberFormat="1" applyFill="1" applyBorder="1"/>
    <xf numFmtId="165" fontId="0" fillId="9" borderId="9" xfId="0" applyNumberFormat="1" applyFill="1" applyBorder="1"/>
    <xf numFmtId="165" fontId="0" fillId="9" borderId="1" xfId="0" applyNumberFormat="1" applyFill="1" applyBorder="1" applyAlignment="1">
      <alignment horizontal="right"/>
    </xf>
    <xf numFmtId="2" fontId="0" fillId="11" borderId="1" xfId="0" applyNumberFormat="1" applyFill="1" applyBorder="1"/>
    <xf numFmtId="49" fontId="6" fillId="0" borderId="0" xfId="0" applyNumberFormat="1" applyFont="1" applyBorder="1" applyAlignment="1">
      <alignment horizontal="right" wrapText="1"/>
    </xf>
    <xf numFmtId="0" fontId="0" fillId="9" borderId="10" xfId="0" applyFill="1" applyBorder="1"/>
    <xf numFmtId="0" fontId="3" fillId="0" borderId="0" xfId="0" applyFont="1" applyBorder="1" applyAlignment="1"/>
    <xf numFmtId="0" fontId="0" fillId="13" borderId="1" xfId="0" applyFill="1" applyBorder="1" applyAlignment="1">
      <alignment horizontal="center"/>
    </xf>
    <xf numFmtId="0" fontId="0" fillId="0" borderId="1" xfId="0" applyBorder="1" applyAlignment="1">
      <alignment horizontal="center"/>
    </xf>
    <xf numFmtId="0" fontId="3" fillId="13" borderId="1" xfId="0" applyFont="1" applyFill="1" applyBorder="1" applyAlignment="1">
      <alignment horizontal="center"/>
    </xf>
    <xf numFmtId="49" fontId="3" fillId="0" borderId="0" xfId="0" applyNumberFormat="1" applyFont="1" applyBorder="1" applyAlignment="1">
      <alignment horizontal="right" wrapText="1"/>
    </xf>
    <xf numFmtId="49" fontId="3" fillId="0" borderId="0" xfId="0" applyNumberFormat="1" applyFont="1" applyBorder="1" applyAlignment="1">
      <alignment horizontal="center" wrapText="1"/>
    </xf>
    <xf numFmtId="49" fontId="3" fillId="0" borderId="1" xfId="0" applyNumberFormat="1" applyFont="1" applyBorder="1" applyAlignment="1">
      <alignment horizontal="center" wrapText="1"/>
    </xf>
    <xf numFmtId="2" fontId="3" fillId="0" borderId="1" xfId="0" applyNumberFormat="1" applyFont="1" applyBorder="1" applyAlignment="1">
      <alignment horizontal="center" wrapText="1"/>
    </xf>
    <xf numFmtId="49" fontId="3" fillId="0" borderId="0" xfId="0" applyNumberFormat="1" applyFont="1" applyAlignment="1">
      <alignment horizontal="center" wrapText="1"/>
    </xf>
    <xf numFmtId="0" fontId="0" fillId="0" borderId="1" xfId="0" applyBorder="1" applyAlignment="1">
      <alignment horizontal="right"/>
    </xf>
    <xf numFmtId="0" fontId="0" fillId="0" borderId="1" xfId="0" applyFill="1" applyBorder="1" applyAlignment="1">
      <alignment horizontal="right"/>
    </xf>
    <xf numFmtId="0" fontId="0" fillId="6" borderId="7" xfId="0" applyFill="1" applyBorder="1"/>
    <xf numFmtId="0" fontId="0" fillId="9" borderId="7" xfId="0" applyFill="1" applyBorder="1"/>
    <xf numFmtId="0" fontId="0" fillId="2" borderId="7" xfId="0" applyFill="1" applyBorder="1"/>
    <xf numFmtId="0" fontId="0" fillId="13" borderId="10" xfId="0" applyFill="1" applyBorder="1"/>
    <xf numFmtId="0" fontId="0" fillId="0" borderId="0" xfId="0" applyFill="1" applyAlignment="1">
      <alignment horizontal="center"/>
    </xf>
    <xf numFmtId="49" fontId="6" fillId="0" borderId="1" xfId="0" applyNumberFormat="1" applyFont="1" applyFill="1" applyBorder="1" applyAlignment="1">
      <alignment horizontal="center" wrapText="1"/>
    </xf>
    <xf numFmtId="0" fontId="6" fillId="0" borderId="1" xfId="0" applyFont="1" applyBorder="1"/>
    <xf numFmtId="0" fontId="6" fillId="0" borderId="1" xfId="0" applyFont="1" applyFill="1" applyBorder="1"/>
    <xf numFmtId="0" fontId="6" fillId="0" borderId="1" xfId="0" quotePrefix="1" applyFont="1" applyBorder="1" applyAlignment="1">
      <alignment horizontal="center"/>
    </xf>
    <xf numFmtId="2" fontId="3" fillId="0" borderId="1" xfId="0" applyNumberFormat="1" applyFont="1" applyFill="1" applyBorder="1" applyAlignment="1">
      <alignment horizontal="right"/>
    </xf>
    <xf numFmtId="2" fontId="3" fillId="0" borderId="1" xfId="0" applyNumberFormat="1" applyFont="1" applyFill="1" applyBorder="1" applyAlignment="1">
      <alignment horizontal="center"/>
    </xf>
    <xf numFmtId="2" fontId="0" fillId="0" borderId="1" xfId="0" applyNumberFormat="1" applyBorder="1" applyAlignment="1">
      <alignment horizontal="center"/>
    </xf>
    <xf numFmtId="0" fontId="0" fillId="0" borderId="1" xfId="0" applyFill="1" applyBorder="1" applyAlignment="1">
      <alignment horizontal="center"/>
    </xf>
    <xf numFmtId="164" fontId="0" fillId="11" borderId="11" xfId="0" applyNumberFormat="1" applyFill="1" applyBorder="1" applyAlignment="1">
      <alignment horizontal="right"/>
    </xf>
    <xf numFmtId="165" fontId="0" fillId="0" borderId="0" xfId="0" applyNumberFormat="1" applyFill="1" applyBorder="1" applyAlignment="1">
      <alignment horizontal="right"/>
    </xf>
    <xf numFmtId="49" fontId="0" fillId="0" borderId="0" xfId="0" applyNumberFormat="1" applyAlignment="1">
      <alignment horizontal="right" wrapText="1"/>
    </xf>
    <xf numFmtId="49" fontId="0" fillId="0" borderId="0" xfId="0" applyNumberFormat="1" applyAlignment="1">
      <alignment wrapText="1"/>
    </xf>
    <xf numFmtId="0" fontId="0" fillId="9" borderId="12" xfId="0" applyFill="1" applyBorder="1" applyAlignment="1">
      <alignment horizontal="right"/>
    </xf>
    <xf numFmtId="0" fontId="0" fillId="9" borderId="13" xfId="0" applyFill="1" applyBorder="1" applyAlignment="1">
      <alignment horizontal="right"/>
    </xf>
    <xf numFmtId="49" fontId="0" fillId="0" borderId="0" xfId="0" applyNumberFormat="1" applyBorder="1" applyAlignment="1">
      <alignment horizontal="center" wrapText="1"/>
    </xf>
    <xf numFmtId="0" fontId="0" fillId="0" borderId="2" xfId="0" applyFill="1" applyBorder="1" applyAlignment="1"/>
    <xf numFmtId="0" fontId="0" fillId="0" borderId="0" xfId="0" applyFill="1" applyAlignment="1"/>
    <xf numFmtId="49" fontId="0" fillId="0" borderId="0" xfId="0" applyNumberFormat="1" applyFill="1" applyBorder="1" applyAlignment="1">
      <alignment horizontal="center" wrapText="1"/>
    </xf>
    <xf numFmtId="49" fontId="0" fillId="0" borderId="0" xfId="0" applyNumberFormat="1" applyAlignment="1">
      <alignment horizontal="center" wrapText="1"/>
    </xf>
    <xf numFmtId="166" fontId="6" fillId="0" borderId="0" xfId="0" applyNumberFormat="1" applyFont="1" applyBorder="1" applyAlignment="1">
      <alignment horizontal="center" wrapText="1"/>
    </xf>
    <xf numFmtId="166" fontId="0" fillId="0" borderId="0" xfId="0" applyNumberFormat="1" applyBorder="1" applyAlignment="1">
      <alignment horizontal="center" wrapText="1"/>
    </xf>
    <xf numFmtId="166" fontId="0" fillId="6" borderId="1" xfId="0" applyNumberFormat="1" applyFill="1" applyBorder="1" applyAlignment="1">
      <alignment horizontal="right"/>
    </xf>
    <xf numFmtId="166" fontId="0" fillId="0" borderId="1" xfId="0" applyNumberFormat="1" applyFill="1" applyBorder="1" applyAlignment="1">
      <alignment horizontal="right"/>
    </xf>
    <xf numFmtId="166" fontId="0" fillId="0" borderId="0" xfId="0" applyNumberFormat="1"/>
    <xf numFmtId="166" fontId="0" fillId="6" borderId="1" xfId="0" applyNumberFormat="1" applyFill="1" applyBorder="1"/>
    <xf numFmtId="49" fontId="0" fillId="0" borderId="0" xfId="0" applyNumberFormat="1" applyBorder="1" applyAlignment="1">
      <alignment horizontal="right" wrapText="1"/>
    </xf>
    <xf numFmtId="49" fontId="0" fillId="0" borderId="14" xfId="0" applyNumberFormat="1" applyBorder="1" applyAlignment="1">
      <alignment horizontal="right" wrapText="1"/>
    </xf>
    <xf numFmtId="164" fontId="3" fillId="5" borderId="1" xfId="0" applyNumberFormat="1" applyFont="1" applyFill="1" applyBorder="1" applyAlignment="1" applyProtection="1">
      <alignment horizontal="right"/>
      <protection locked="0"/>
    </xf>
    <xf numFmtId="0" fontId="0" fillId="0" borderId="15" xfId="0" applyBorder="1" applyAlignment="1">
      <alignment horizontal="left"/>
    </xf>
    <xf numFmtId="0" fontId="0" fillId="0" borderId="16" xfId="0" applyBorder="1" applyAlignment="1">
      <alignment horizontal="left"/>
    </xf>
    <xf numFmtId="0" fontId="3" fillId="0" borderId="11" xfId="0" applyFont="1" applyBorder="1" applyAlignment="1">
      <alignment horizontal="left"/>
    </xf>
    <xf numFmtId="167" fontId="0" fillId="5" borderId="1" xfId="0" applyNumberFormat="1" applyFill="1" applyBorder="1" applyProtection="1">
      <protection locked="0"/>
    </xf>
    <xf numFmtId="0" fontId="6" fillId="0" borderId="0" xfId="0" applyFont="1" applyAlignment="1">
      <alignment horizontal="left" wrapText="1"/>
    </xf>
    <xf numFmtId="0" fontId="3" fillId="0" borderId="0" xfId="0" applyFont="1" applyBorder="1" applyAlignment="1">
      <alignment horizontal="center" wrapText="1"/>
    </xf>
    <xf numFmtId="166" fontId="3" fillId="0" borderId="0" xfId="0" applyNumberFormat="1" applyFont="1" applyBorder="1" applyAlignment="1">
      <alignment horizontal="center" wrapText="1"/>
    </xf>
    <xf numFmtId="49" fontId="3" fillId="0" borderId="0" xfId="0" applyNumberFormat="1" applyFont="1" applyBorder="1" applyAlignment="1">
      <alignment horizontal="left" wrapText="1"/>
    </xf>
    <xf numFmtId="49" fontId="3" fillId="0" borderId="0" xfId="0" quotePrefix="1" applyNumberFormat="1" applyFont="1" applyBorder="1" applyAlignment="1">
      <alignment horizontal="right" wrapText="1"/>
    </xf>
    <xf numFmtId="0" fontId="0" fillId="14" borderId="7" xfId="0" applyFill="1" applyBorder="1"/>
    <xf numFmtId="2" fontId="3" fillId="14" borderId="1" xfId="0" applyNumberFormat="1" applyFont="1" applyFill="1" applyBorder="1" applyAlignment="1">
      <alignment horizontal="right"/>
    </xf>
    <xf numFmtId="164" fontId="3" fillId="14" borderId="1" xfId="0" applyNumberFormat="1" applyFont="1" applyFill="1" applyBorder="1" applyAlignment="1">
      <alignment horizontal="right"/>
    </xf>
    <xf numFmtId="164" fontId="0" fillId="14" borderId="1" xfId="0" applyNumberFormat="1" applyFill="1" applyBorder="1" applyAlignment="1">
      <alignment horizontal="right"/>
    </xf>
    <xf numFmtId="2" fontId="0" fillId="14" borderId="1" xfId="0" applyNumberFormat="1" applyFill="1" applyBorder="1"/>
    <xf numFmtId="164" fontId="0" fillId="5" borderId="1" xfId="0" applyNumberFormat="1" applyFill="1" applyBorder="1" applyAlignment="1" applyProtection="1">
      <alignment horizontal="right"/>
      <protection locked="0"/>
    </xf>
    <xf numFmtId="0" fontId="0" fillId="0" borderId="0" xfId="0" applyProtection="1">
      <protection locked="0"/>
    </xf>
    <xf numFmtId="0" fontId="0" fillId="12" borderId="7" xfId="0" applyFill="1" applyBorder="1" applyAlignment="1">
      <alignment horizontal="left"/>
    </xf>
    <xf numFmtId="0" fontId="0" fillId="0" borderId="0" xfId="0" applyAlignment="1" applyProtection="1">
      <alignment horizontal="left"/>
      <protection locked="0"/>
    </xf>
    <xf numFmtId="0" fontId="3" fillId="0" borderId="0" xfId="0" applyFont="1" applyAlignment="1" applyProtection="1">
      <alignment horizontal="right"/>
      <protection locked="0"/>
    </xf>
    <xf numFmtId="0" fontId="9" fillId="0" borderId="0" xfId="0" applyFont="1" applyAlignment="1">
      <alignment horizontal="right"/>
    </xf>
    <xf numFmtId="0" fontId="3" fillId="14" borderId="1" xfId="0" applyFont="1" applyFill="1" applyBorder="1" applyAlignment="1" applyProtection="1">
      <alignment horizontal="center" wrapText="1"/>
      <protection locked="0"/>
    </xf>
    <xf numFmtId="164" fontId="0" fillId="14" borderId="1" xfId="0" applyNumberFormat="1" applyFill="1" applyBorder="1" applyProtection="1">
      <protection locked="0"/>
    </xf>
    <xf numFmtId="165" fontId="0" fillId="14" borderId="1" xfId="0" applyNumberFormat="1" applyFill="1" applyBorder="1" applyProtection="1">
      <protection locked="0"/>
    </xf>
    <xf numFmtId="0" fontId="8" fillId="0" borderId="0" xfId="0" applyFont="1"/>
    <xf numFmtId="167" fontId="10" fillId="0" borderId="0" xfId="0" applyNumberFormat="1" applyFont="1"/>
    <xf numFmtId="168" fontId="7" fillId="0" borderId="0" xfId="0" applyNumberFormat="1" applyFont="1"/>
    <xf numFmtId="168" fontId="6" fillId="0" borderId="0" xfId="0" applyNumberFormat="1" applyFont="1"/>
    <xf numFmtId="0" fontId="0" fillId="0" borderId="0" xfId="0" applyBorder="1" applyProtection="1">
      <protection locked="0"/>
    </xf>
    <xf numFmtId="0" fontId="6" fillId="0" borderId="0" xfId="0" applyFont="1" applyAlignment="1" applyProtection="1">
      <alignment horizontal="right" vertical="center"/>
      <protection locked="0"/>
    </xf>
    <xf numFmtId="0" fontId="11" fillId="0" borderId="0" xfId="0" applyFont="1" applyAlignment="1">
      <alignment horizontal="right" vertical="center"/>
    </xf>
    <xf numFmtId="0" fontId="0" fillId="0" borderId="11" xfId="0" applyBorder="1" applyAlignment="1">
      <alignment horizontal="left" wrapText="1"/>
    </xf>
    <xf numFmtId="0" fontId="0" fillId="0" borderId="15" xfId="0" applyBorder="1" applyAlignment="1">
      <alignment horizontal="left" wrapText="1"/>
    </xf>
    <xf numFmtId="0" fontId="0" fillId="0" borderId="16" xfId="0" applyBorder="1" applyAlignment="1">
      <alignment horizontal="left" wrapText="1"/>
    </xf>
    <xf numFmtId="0" fontId="0" fillId="0" borderId="17" xfId="0" applyBorder="1" applyAlignment="1">
      <alignment horizontal="left" wrapText="1"/>
    </xf>
    <xf numFmtId="0" fontId="0" fillId="0" borderId="18" xfId="0" applyBorder="1" applyAlignment="1">
      <alignment horizontal="left" wrapText="1"/>
    </xf>
    <xf numFmtId="0" fontId="0" fillId="0" borderId="19" xfId="0" applyBorder="1" applyAlignment="1">
      <alignment horizontal="left" wrapText="1"/>
    </xf>
    <xf numFmtId="0" fontId="6" fillId="0" borderId="20" xfId="0" applyFont="1" applyBorder="1" applyAlignment="1">
      <alignment horizontal="center" wrapText="1"/>
    </xf>
    <xf numFmtId="0" fontId="6" fillId="0" borderId="21" xfId="0" applyFont="1" applyBorder="1" applyAlignment="1">
      <alignment horizontal="center" wrapText="1"/>
    </xf>
    <xf numFmtId="0" fontId="6" fillId="0" borderId="22" xfId="0" applyFont="1" applyBorder="1" applyAlignment="1">
      <alignment horizontal="center" wrapText="1"/>
    </xf>
    <xf numFmtId="49" fontId="6" fillId="0" borderId="1" xfId="0" applyNumberFormat="1" applyFont="1" applyBorder="1" applyAlignment="1">
      <alignment horizontal="center" wrapText="1"/>
    </xf>
    <xf numFmtId="0" fontId="3" fillId="0" borderId="11" xfId="0" applyFont="1" applyBorder="1" applyAlignment="1">
      <alignment horizontal="left" wrapText="1"/>
    </xf>
    <xf numFmtId="0" fontId="3" fillId="0" borderId="15" xfId="0" applyFont="1" applyBorder="1" applyAlignment="1">
      <alignment horizontal="left" wrapText="1"/>
    </xf>
    <xf numFmtId="0" fontId="3" fillId="0" borderId="16" xfId="0" applyFont="1" applyBorder="1" applyAlignment="1">
      <alignment horizontal="left" wrapText="1"/>
    </xf>
    <xf numFmtId="164" fontId="6" fillId="0" borderId="0" xfId="0" applyNumberFormat="1" applyFont="1" applyBorder="1" applyAlignment="1">
      <alignment horizontal="center" wrapText="1"/>
    </xf>
    <xf numFmtId="0" fontId="0" fillId="0" borderId="23" xfId="0" applyFill="1" applyBorder="1" applyAlignment="1">
      <alignment horizontal="right" wrapText="1"/>
    </xf>
    <xf numFmtId="0" fontId="0" fillId="0" borderId="0" xfId="0" applyFill="1" applyBorder="1" applyAlignment="1">
      <alignment horizontal="right" wrapText="1"/>
    </xf>
    <xf numFmtId="164" fontId="0" fillId="0" borderId="2" xfId="0" applyNumberFormat="1" applyFill="1" applyBorder="1" applyAlignment="1">
      <alignment horizontal="right"/>
    </xf>
    <xf numFmtId="164" fontId="0" fillId="0" borderId="5" xfId="0" applyNumberFormat="1" applyFill="1" applyBorder="1" applyAlignment="1">
      <alignment horizontal="right"/>
    </xf>
    <xf numFmtId="0" fontId="0" fillId="9" borderId="20" xfId="0" applyFill="1" applyBorder="1" applyAlignment="1">
      <alignment horizontal="center"/>
    </xf>
    <xf numFmtId="0" fontId="0" fillId="9" borderId="22" xfId="0" applyFill="1" applyBorder="1" applyAlignment="1">
      <alignment horizontal="center"/>
    </xf>
    <xf numFmtId="49" fontId="0" fillId="0" borderId="3" xfId="0" applyNumberFormat="1" applyBorder="1" applyAlignment="1">
      <alignment horizontal="right" wrapText="1"/>
    </xf>
    <xf numFmtId="49" fontId="0" fillId="0" borderId="6" xfId="0" applyNumberFormat="1" applyBorder="1" applyAlignment="1">
      <alignment horizontal="right" wrapText="1"/>
    </xf>
    <xf numFmtId="164" fontId="0" fillId="0" borderId="24" xfId="0" applyNumberFormat="1" applyFill="1" applyBorder="1" applyAlignment="1">
      <alignment horizontal="right"/>
    </xf>
    <xf numFmtId="164" fontId="0" fillId="0" borderId="25" xfId="0" applyNumberFormat="1" applyFill="1" applyBorder="1" applyAlignment="1">
      <alignment horizontal="right"/>
    </xf>
    <xf numFmtId="164" fontId="3" fillId="14" borderId="1" xfId="0" applyNumberFormat="1" applyFont="1" applyFill="1" applyBorder="1" applyAlignment="1" applyProtection="1">
      <alignment horizontal="center" wrapText="1"/>
      <protection locked="0"/>
    </xf>
    <xf numFmtId="0" fontId="6" fillId="0" borderId="20" xfId="0" applyFont="1" applyBorder="1" applyAlignment="1">
      <alignment horizontal="center"/>
    </xf>
    <xf numFmtId="0" fontId="6" fillId="0" borderId="21" xfId="0" applyFont="1" applyBorder="1" applyAlignment="1">
      <alignment horizontal="center"/>
    </xf>
    <xf numFmtId="0" fontId="6" fillId="0" borderId="22" xfId="0" applyFont="1" applyBorder="1" applyAlignment="1">
      <alignment horizontal="center"/>
    </xf>
    <xf numFmtId="0" fontId="0" fillId="0" borderId="1" xfId="0" applyBorder="1" applyAlignment="1">
      <alignment horizontal="left"/>
    </xf>
    <xf numFmtId="0" fontId="0" fillId="0" borderId="8" xfId="0" applyBorder="1" applyAlignment="1">
      <alignment horizontal="left"/>
    </xf>
    <xf numFmtId="0" fontId="0" fillId="0" borderId="17" xfId="0" applyBorder="1" applyAlignment="1">
      <alignment horizontal="left"/>
    </xf>
    <xf numFmtId="0" fontId="0" fillId="0" borderId="18" xfId="0" applyBorder="1" applyAlignment="1">
      <alignment horizontal="left"/>
    </xf>
    <xf numFmtId="0" fontId="0" fillId="0" borderId="19" xfId="0" applyBorder="1" applyAlignment="1">
      <alignment horizontal="left"/>
    </xf>
    <xf numFmtId="0" fontId="3" fillId="0" borderId="1" xfId="0" applyFont="1" applyBorder="1" applyAlignment="1">
      <alignment horizontal="left"/>
    </xf>
    <xf numFmtId="0" fontId="0" fillId="0" borderId="11" xfId="0" applyBorder="1" applyAlignment="1">
      <alignment horizontal="left"/>
    </xf>
    <xf numFmtId="0" fontId="0" fillId="0" borderId="15" xfId="0" applyBorder="1" applyAlignment="1">
      <alignment horizontal="left"/>
    </xf>
    <xf numFmtId="0" fontId="0" fillId="0" borderId="16" xfId="0" applyBorder="1" applyAlignment="1">
      <alignment horizontal="left"/>
    </xf>
    <xf numFmtId="0" fontId="3" fillId="0" borderId="11" xfId="0" applyFont="1" applyBorder="1" applyAlignment="1">
      <alignment horizontal="left"/>
    </xf>
    <xf numFmtId="0" fontId="3" fillId="0" borderId="15" xfId="0" applyFont="1" applyBorder="1" applyAlignment="1">
      <alignment horizontal="left"/>
    </xf>
  </cellXfs>
  <cellStyles count="1">
    <cellStyle name="Normal" xfId="0" builtinId="0"/>
  </cellStyles>
  <dxfs count="45">
    <dxf>
      <fill>
        <patternFill>
          <bgColor indexed="10"/>
        </patternFill>
      </fill>
    </dxf>
    <dxf>
      <fill>
        <patternFill>
          <bgColor indexed="10"/>
        </patternFill>
      </fill>
    </dxf>
    <dxf>
      <fill>
        <patternFill>
          <bgColor indexed="11"/>
        </patternFill>
      </fill>
    </dxf>
    <dxf>
      <font>
        <condense val="0"/>
        <extend val="0"/>
        <color auto="1"/>
      </font>
      <fill>
        <patternFill>
          <bgColor indexed="10"/>
        </patternFill>
      </fill>
    </dxf>
    <dxf>
      <fill>
        <patternFill>
          <bgColor indexed="11"/>
        </patternFill>
      </fill>
    </dxf>
    <dxf>
      <font>
        <condense val="0"/>
        <extend val="0"/>
        <color auto="1"/>
      </font>
      <fill>
        <patternFill>
          <bgColor indexed="10"/>
        </patternFill>
      </fill>
    </dxf>
    <dxf>
      <fill>
        <patternFill>
          <bgColor indexed="11"/>
        </patternFill>
      </fill>
    </dxf>
    <dxf>
      <font>
        <condense val="0"/>
        <extend val="0"/>
        <color auto="1"/>
      </font>
      <fill>
        <patternFill>
          <bgColor indexed="10"/>
        </patternFill>
      </fill>
    </dxf>
    <dxf>
      <fill>
        <patternFill>
          <bgColor indexed="11"/>
        </patternFill>
      </fill>
    </dxf>
    <dxf>
      <font>
        <condense val="0"/>
        <extend val="0"/>
        <color auto="1"/>
      </font>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ndense val="0"/>
        <extend val="0"/>
        <color auto="1"/>
      </font>
      <fill>
        <patternFill>
          <bgColor indexed="10"/>
        </patternFill>
      </fill>
    </dxf>
    <dxf>
      <fill>
        <patternFill>
          <bgColor indexed="10"/>
        </patternFill>
      </fill>
    </dxf>
    <dxf>
      <fill>
        <patternFill>
          <bgColor indexed="11"/>
        </patternFill>
      </fill>
    </dxf>
    <dxf>
      <font>
        <condense val="0"/>
        <extend val="0"/>
        <color auto="1"/>
      </font>
      <fill>
        <patternFill>
          <bgColor indexed="10"/>
        </patternFill>
      </fill>
    </dxf>
    <dxf>
      <fill>
        <patternFill>
          <bgColor indexed="11"/>
        </patternFill>
      </fill>
    </dxf>
    <dxf>
      <font>
        <condense val="0"/>
        <extend val="0"/>
        <color auto="1"/>
      </font>
      <fill>
        <patternFill>
          <bgColor indexed="10"/>
        </patternFill>
      </fill>
    </dxf>
    <dxf>
      <fill>
        <patternFill>
          <bgColor indexed="11"/>
        </patternFill>
      </fill>
    </dxf>
    <dxf>
      <font>
        <condense val="0"/>
        <extend val="0"/>
        <color auto="1"/>
      </font>
      <fill>
        <patternFill>
          <bgColor indexed="10"/>
        </patternFill>
      </fill>
    </dxf>
    <dxf>
      <fill>
        <patternFill>
          <bgColor indexed="11"/>
        </patternFill>
      </fill>
    </dxf>
    <dxf>
      <font>
        <condense val="0"/>
        <extend val="0"/>
        <color auto="1"/>
      </font>
      <fill>
        <patternFill>
          <bgColor indexed="10"/>
        </patternFill>
      </fill>
    </dxf>
    <dxf>
      <fill>
        <patternFill>
          <bgColor indexed="11"/>
        </patternFill>
      </fill>
    </dxf>
    <dxf>
      <font>
        <condense val="0"/>
        <extend val="0"/>
        <color auto="1"/>
      </font>
      <fill>
        <patternFill>
          <bgColor indexed="10"/>
        </patternFill>
      </fill>
    </dxf>
    <dxf>
      <fill>
        <patternFill>
          <bgColor indexed="11"/>
        </patternFill>
      </fill>
    </dxf>
    <dxf>
      <font>
        <condense val="0"/>
        <extend val="0"/>
        <color auto="1"/>
      </font>
      <fill>
        <patternFill>
          <bgColor indexed="10"/>
        </patternFill>
      </fill>
    </dxf>
    <dxf>
      <fill>
        <patternFill>
          <bgColor indexed="11"/>
        </patternFill>
      </fill>
    </dxf>
    <dxf>
      <font>
        <condense val="0"/>
        <extend val="0"/>
        <color auto="1"/>
      </font>
      <fill>
        <patternFill>
          <bgColor indexed="10"/>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28575</xdr:rowOff>
        </xdr:from>
        <xdr:to>
          <xdr:col>7</xdr:col>
          <xdr:colOff>838200</xdr:colOff>
          <xdr:row>5</xdr:row>
          <xdr:rowOff>0</xdr:rowOff>
        </xdr:to>
        <xdr:sp macro="" textlink="">
          <xdr:nvSpPr>
            <xdr:cNvPr id="4097" name="cmdFilterSet"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9525</xdr:rowOff>
        </xdr:from>
        <xdr:to>
          <xdr:col>8</xdr:col>
          <xdr:colOff>0</xdr:colOff>
          <xdr:row>18</xdr:row>
          <xdr:rowOff>142875</xdr:rowOff>
        </xdr:to>
        <xdr:sp macro="" textlink="">
          <xdr:nvSpPr>
            <xdr:cNvPr id="4109" name="PrintBoxLabel"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19050</xdr:rowOff>
        </xdr:from>
        <xdr:to>
          <xdr:col>7</xdr:col>
          <xdr:colOff>838200</xdr:colOff>
          <xdr:row>21</xdr:row>
          <xdr:rowOff>0</xdr:rowOff>
        </xdr:to>
        <xdr:sp macro="" textlink="">
          <xdr:nvSpPr>
            <xdr:cNvPr id="4110" name="PrintNormalisationFilter"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28</xdr:row>
          <xdr:rowOff>0</xdr:rowOff>
        </xdr:from>
        <xdr:to>
          <xdr:col>7</xdr:col>
          <xdr:colOff>828675</xdr:colOff>
          <xdr:row>30</xdr:row>
          <xdr:rowOff>152400</xdr:rowOff>
        </xdr:to>
        <xdr:sp macro="" textlink="">
          <xdr:nvSpPr>
            <xdr:cNvPr id="4220" name="cmdSave" hidden="1">
              <a:extLst>
                <a:ext uri="{63B3BB69-23CF-44E3-9099-C40C66FF867C}">
                  <a14:compatExt spid="_x0000_s4220"/>
                </a:ext>
                <a:ext uri="{FF2B5EF4-FFF2-40B4-BE49-F238E27FC236}">
                  <a16:creationId xmlns:a16="http://schemas.microsoft.com/office/drawing/2014/main" id="{00000000-0008-0000-0000-00007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12700</xdr:colOff>
      <xdr:row>10</xdr:row>
      <xdr:rowOff>12700</xdr:rowOff>
    </xdr:from>
    <xdr:to>
      <xdr:col>4</xdr:col>
      <xdr:colOff>1558925</xdr:colOff>
      <xdr:row>10</xdr:row>
      <xdr:rowOff>739775</xdr:rowOff>
    </xdr:to>
    <xdr:pic>
      <xdr:nvPicPr>
        <xdr:cNvPr id="6" name="DigSigSignature2">
          <a:extLst>
            <a:ext uri="{FF2B5EF4-FFF2-40B4-BE49-F238E27FC236}">
              <a16:creationId xmlns:a16="http://schemas.microsoft.com/office/drawing/2014/main" id="{00000000-0008-0000-02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84475" y="2403475"/>
          <a:ext cx="1546225" cy="727075"/>
        </a:xfrm>
        <a:prstGeom prst="rect">
          <a:avLst/>
        </a:prstGeom>
        <a:solidFill>
          <a:srgbClr val="FEFEFE"/>
        </a:solidFill>
        <a:ln w="12700">
          <a:solidFill>
            <a:srgbClr val="000000"/>
          </a:solidFill>
          <a:prstDash val="solid"/>
        </a:ln>
      </xdr:spPr>
    </xdr:pic>
    <xdr:clientData/>
  </xdr:twoCellAnchor>
  <xdr:twoCellAnchor editAs="oneCell">
    <xdr:from>
      <xdr:col>4</xdr:col>
      <xdr:colOff>12700</xdr:colOff>
      <xdr:row>9</xdr:row>
      <xdr:rowOff>12700</xdr:rowOff>
    </xdr:from>
    <xdr:to>
      <xdr:col>4</xdr:col>
      <xdr:colOff>1558925</xdr:colOff>
      <xdr:row>9</xdr:row>
      <xdr:rowOff>739775</xdr:rowOff>
    </xdr:to>
    <xdr:pic>
      <xdr:nvPicPr>
        <xdr:cNvPr id="9" name="DigSigSignature1">
          <a:extLst>
            <a:ext uri="{FF2B5EF4-FFF2-40B4-BE49-F238E27FC236}">
              <a16:creationId xmlns:a16="http://schemas.microsoft.com/office/drawing/2014/main" id="{00000000-0008-0000-0200-000009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784475" y="1651000"/>
          <a:ext cx="1546225" cy="727075"/>
        </a:xfrm>
        <a:prstGeom prst="rect">
          <a:avLst/>
        </a:prstGeom>
        <a:solidFill>
          <a:srgbClr val="FEFEFE"/>
        </a:solidFill>
        <a:ln w="12700">
          <a:solidFill>
            <a:srgbClr val="000000"/>
          </a:solidFill>
          <a:prstDash val="soli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J36"/>
  <sheetViews>
    <sheetView tabSelected="1" workbookViewId="0">
      <selection activeCell="B6" sqref="B6:D6"/>
    </sheetView>
  </sheetViews>
  <sheetFormatPr defaultRowHeight="12.75" x14ac:dyDescent="0.2"/>
  <cols>
    <col min="1" max="1" width="28.140625" style="45" customWidth="1"/>
    <col min="2" max="3" width="9.7109375" customWidth="1"/>
    <col min="4" max="4" width="9.7109375" style="61" customWidth="1"/>
    <col min="5" max="5" width="9.7109375" customWidth="1"/>
    <col min="6" max="8" width="12.7109375" customWidth="1"/>
  </cols>
  <sheetData>
    <row r="1" spans="1:10" ht="25.5" x14ac:dyDescent="0.2">
      <c r="A1" s="128" t="s">
        <v>91</v>
      </c>
    </row>
    <row r="2" spans="1:10" ht="25.5" x14ac:dyDescent="0.2">
      <c r="A2" s="128" t="s">
        <v>85</v>
      </c>
      <c r="B2" s="56"/>
    </row>
    <row r="3" spans="1:10" x14ac:dyDescent="0.2">
      <c r="A3" s="25" t="s">
        <v>29</v>
      </c>
      <c r="B3" s="127">
        <v>0</v>
      </c>
      <c r="C3" s="27"/>
    </row>
    <row r="4" spans="1:10" x14ac:dyDescent="0.2">
      <c r="A4" s="25" t="s">
        <v>28</v>
      </c>
      <c r="B4" s="27"/>
      <c r="C4" s="27"/>
    </row>
    <row r="5" spans="1:10" x14ac:dyDescent="0.2">
      <c r="A5" s="49"/>
      <c r="B5" s="27"/>
      <c r="C5" s="27"/>
      <c r="D5" s="64"/>
      <c r="E5" s="29"/>
      <c r="F5" s="29"/>
      <c r="G5" s="29"/>
      <c r="H5" s="29"/>
    </row>
    <row r="6" spans="1:10" s="66" customFormat="1" ht="25.5" x14ac:dyDescent="0.2">
      <c r="A6" s="78" t="s">
        <v>54</v>
      </c>
      <c r="B6" s="163" t="s">
        <v>63</v>
      </c>
      <c r="C6" s="163"/>
      <c r="D6" s="163"/>
      <c r="E6" s="68"/>
      <c r="F6" s="69" t="s">
        <v>81</v>
      </c>
      <c r="G6" s="68" t="s">
        <v>64</v>
      </c>
      <c r="H6" s="68" t="s">
        <v>65</v>
      </c>
      <c r="I6" s="67"/>
      <c r="J6" s="67"/>
    </row>
    <row r="7" spans="1:10" s="88" customFormat="1" x14ac:dyDescent="0.2">
      <c r="A7" s="84"/>
      <c r="B7" s="86" t="s">
        <v>57</v>
      </c>
      <c r="C7" s="86" t="s">
        <v>59</v>
      </c>
      <c r="D7" s="86" t="s">
        <v>58</v>
      </c>
      <c r="E7" s="86" t="s">
        <v>62</v>
      </c>
      <c r="F7" s="87"/>
      <c r="G7" s="86"/>
      <c r="H7" s="86"/>
      <c r="I7" s="85"/>
      <c r="J7" s="84"/>
    </row>
    <row r="8" spans="1:10" x14ac:dyDescent="0.2">
      <c r="A8" s="57" t="s">
        <v>38</v>
      </c>
      <c r="B8" s="123">
        <v>0</v>
      </c>
      <c r="C8" s="123">
        <v>0</v>
      </c>
      <c r="D8" s="123">
        <v>0</v>
      </c>
      <c r="E8" s="120">
        <f>AVERAGE(DCA_Blank_1,DCA_Blank_2,DCA_Blank_3)</f>
        <v>0</v>
      </c>
      <c r="F8" s="77" t="e">
        <f>(DCA_Blank*100)*(NPLBlank/Ref_ND_Blank_Reading)</f>
        <v>#DIV/0!</v>
      </c>
      <c r="G8" s="51" t="e">
        <f>(DCA_Blank*NPLBlank)/Ref_ND_Blank_Reading</f>
        <v>#DIV/0!</v>
      </c>
      <c r="H8" s="81">
        <f>Checksum_Blank</f>
        <v>7</v>
      </c>
      <c r="I8" s="29"/>
      <c r="J8" s="29"/>
    </row>
    <row r="9" spans="1:10" x14ac:dyDescent="0.2">
      <c r="A9" s="57" t="s">
        <v>39</v>
      </c>
      <c r="B9" s="123">
        <v>0</v>
      </c>
      <c r="C9" s="123">
        <v>0</v>
      </c>
      <c r="D9" s="123">
        <v>0</v>
      </c>
      <c r="E9" s="120">
        <f>AVERAGE(DCA_High_1,DCA_High_2,DCA_High_3)</f>
        <v>0</v>
      </c>
      <c r="F9" s="62" t="e">
        <f>(DCA_High*100)*(NotBC_High/Ref_ND_High_Reading)</f>
        <v>#DIV/0!</v>
      </c>
      <c r="G9" s="52" t="e">
        <f>(DCA_High*Ref_High*Ref_ND_Blank_Reading)/(DCA_Blank*Ref_ND_High_Reading)</f>
        <v>#DIV/0!</v>
      </c>
      <c r="H9" s="81">
        <f>Checksum_High</f>
        <v>3</v>
      </c>
      <c r="I9" s="29"/>
      <c r="J9" s="29"/>
    </row>
    <row r="10" spans="1:10" x14ac:dyDescent="0.2">
      <c r="A10" s="57" t="s">
        <v>40</v>
      </c>
      <c r="B10" s="123">
        <v>0</v>
      </c>
      <c r="C10" s="123">
        <v>0</v>
      </c>
      <c r="D10" s="123">
        <v>0</v>
      </c>
      <c r="E10" s="120">
        <f>AVERAGE(DCA_Test_1,DCA_Test_2,DCA_Test_3)</f>
        <v>0</v>
      </c>
      <c r="F10" s="62" t="e">
        <f>(DCA_Test*100)*(NotBC_Test/Ref_ND_Test_Reading)</f>
        <v>#DIV/0!</v>
      </c>
      <c r="G10" s="52" t="e">
        <f>(DCA_Test*Ref_Test*Ref_ND_Blank_Reading)/(DCA_Blank*Ref_ND_Test_Reading)</f>
        <v>#DIV/0!</v>
      </c>
      <c r="H10" s="81">
        <f>Checksum_Test</f>
        <v>2</v>
      </c>
      <c r="I10" s="29"/>
      <c r="J10" s="29"/>
    </row>
    <row r="11" spans="1:10" x14ac:dyDescent="0.2">
      <c r="A11" s="57" t="s">
        <v>41</v>
      </c>
      <c r="B11" s="123">
        <v>0</v>
      </c>
      <c r="C11" s="123">
        <v>0</v>
      </c>
      <c r="D11" s="123">
        <v>0</v>
      </c>
      <c r="E11" s="120">
        <f>AVERAGE(DCA_Low_1,DCA_Low_2,DCA_Low_3)</f>
        <v>0</v>
      </c>
      <c r="F11" s="62" t="e">
        <f>(DCA_Low)*100*(NotBC_Low/Ref_ND_Low_Reading)</f>
        <v>#DIV/0!</v>
      </c>
      <c r="G11" s="52" t="e">
        <f>(DCA_Low*Ref_Low*Ref_ND_Blank_Reading)/(DCA_Blank*Ref_ND_Low_Reading)</f>
        <v>#DIV/0!</v>
      </c>
      <c r="H11" s="81">
        <f>Checksum_Low</f>
        <v>1</v>
      </c>
      <c r="I11" s="29"/>
      <c r="J11" s="29"/>
    </row>
    <row r="12" spans="1:10" x14ac:dyDescent="0.2">
      <c r="A12" s="57" t="s">
        <v>80</v>
      </c>
      <c r="B12" s="123">
        <v>0</v>
      </c>
      <c r="C12" s="123">
        <v>0</v>
      </c>
      <c r="D12" s="123">
        <v>0</v>
      </c>
      <c r="E12" s="120">
        <f>AVERAGE(DCA_Var_1,DCA_Var_2,DCA_Var_3)</f>
        <v>0</v>
      </c>
      <c r="F12" s="62"/>
      <c r="G12" s="53"/>
      <c r="H12" s="81">
        <f>Checksum_VAR</f>
        <v>0</v>
      </c>
      <c r="I12" s="29"/>
      <c r="J12" s="29"/>
    </row>
    <row r="13" spans="1:10" x14ac:dyDescent="0.2">
      <c r="A13" s="57" t="s">
        <v>42</v>
      </c>
      <c r="B13" s="123">
        <v>0</v>
      </c>
      <c r="C13" s="123">
        <v>0</v>
      </c>
      <c r="D13" s="123">
        <v>0</v>
      </c>
      <c r="E13" s="120">
        <f>AVERAGE(DCA_SBlank_1,DCA_SBlank_2,DCA_SBlank_3)</f>
        <v>0</v>
      </c>
      <c r="F13" s="62" t="e">
        <f>(DCA_SBlank*100)*(NPLBlank/Ref_ND_Blank_Reading)</f>
        <v>#DIV/0!</v>
      </c>
      <c r="G13" s="51" t="e">
        <f>(DCA_SBlank*NPLBlank)/Ref_ND_Blank_Reading</f>
        <v>#DIV/0!</v>
      </c>
      <c r="H13" s="81">
        <f>Checksum_SBlank</f>
        <v>9</v>
      </c>
      <c r="I13" s="29"/>
      <c r="J13" s="29"/>
    </row>
    <row r="14" spans="1:10" x14ac:dyDescent="0.2">
      <c r="A14" s="44" t="s">
        <v>45</v>
      </c>
      <c r="B14" s="123">
        <v>0</v>
      </c>
      <c r="C14" s="123">
        <v>0</v>
      </c>
      <c r="D14" s="123">
        <v>0</v>
      </c>
      <c r="E14" s="120">
        <f>AVERAGE(DCA_Scatter_1,DCA_Scatter_2,DCA_Scatter_3)</f>
        <v>0</v>
      </c>
      <c r="F14" s="62" t="e">
        <f>(DCA_Scatter*100)*(Ref_Scatter/BC_Scatter)</f>
        <v>#DIV/0!</v>
      </c>
      <c r="G14" s="31" t="e">
        <f>(DCA_Scatter*Ref_Scatter*Ref_Scatter_Blank_Reading)/(Ref_Scatter_Reading*DCA_SBlank)</f>
        <v>#DIV/0!</v>
      </c>
      <c r="H14" s="81">
        <f>Checksum_Scatter</f>
        <v>8</v>
      </c>
      <c r="I14" s="29"/>
      <c r="J14" s="29"/>
    </row>
    <row r="15" spans="1:10" x14ac:dyDescent="0.2">
      <c r="A15" s="49" t="s">
        <v>83</v>
      </c>
      <c r="B15" s="123">
        <v>0</v>
      </c>
      <c r="C15" s="123">
        <v>0</v>
      </c>
      <c r="D15" s="123">
        <v>0</v>
      </c>
      <c r="E15" s="120">
        <f>AVERAGE(DCA_Norm_1,DCA_Norm_2,DCA_Norm_3)</f>
        <v>0</v>
      </c>
      <c r="F15" s="62" t="e">
        <f>(DCA_Norm*100)*(Ref_Norm_Abs/Ref_Normalisation_A_Reading)</f>
        <v>#DIV/0!</v>
      </c>
      <c r="G15" s="48" t="e">
        <f>ROUND(-LOG(DCA_Norm)*(Ref_Norm_Abs/(-LOG(Ref_Normalisation_Reading))),3)</f>
        <v>#NUM!</v>
      </c>
      <c r="H15" s="82"/>
      <c r="I15" s="29"/>
      <c r="J15" s="29"/>
    </row>
    <row r="16" spans="1:10" x14ac:dyDescent="0.2">
      <c r="A16" s="49"/>
      <c r="B16" s="89"/>
      <c r="C16" s="89"/>
      <c r="D16" s="89"/>
      <c r="E16" s="43"/>
      <c r="F16" s="62"/>
      <c r="G16" s="47" t="e">
        <f>AssignedTargetNormalisation*1000</f>
        <v>#NUM!</v>
      </c>
      <c r="H16" s="82"/>
      <c r="I16" s="29"/>
      <c r="J16" s="29"/>
    </row>
    <row r="17" spans="1:10" x14ac:dyDescent="0.2">
      <c r="A17" s="65"/>
      <c r="B17" s="90"/>
      <c r="C17" s="90"/>
      <c r="D17" s="90"/>
      <c r="E17" s="63" t="e">
        <f>ROUND(-LOG(DCA_Norm),3)</f>
        <v>#NUM!</v>
      </c>
      <c r="F17" s="62"/>
      <c r="G17" s="47">
        <f>Filter_Set_Number+8000</f>
        <v>8000</v>
      </c>
      <c r="H17" s="83" t="e">
        <f>Checksum_Norm</f>
        <v>#NUM!</v>
      </c>
      <c r="I17" s="80"/>
      <c r="J17" s="80"/>
    </row>
    <row r="18" spans="1:10" x14ac:dyDescent="0.2">
      <c r="A18" s="44" t="s">
        <v>30</v>
      </c>
      <c r="D18"/>
      <c r="E18" s="29"/>
      <c r="F18" s="29"/>
    </row>
    <row r="19" spans="1:10" x14ac:dyDescent="0.2">
      <c r="D19"/>
      <c r="E19" s="29"/>
      <c r="F19" s="29"/>
    </row>
    <row r="20" spans="1:10" x14ac:dyDescent="0.2">
      <c r="A20" s="25" t="s">
        <v>84</v>
      </c>
    </row>
    <row r="21" spans="1:10" x14ac:dyDescent="0.2">
      <c r="F21" s="29"/>
      <c r="G21" s="29"/>
    </row>
    <row r="22" spans="1:10" ht="13.5" thickBot="1" x14ac:dyDescent="0.25">
      <c r="D22"/>
      <c r="E22" s="29"/>
      <c r="F22" s="142"/>
      <c r="G22" s="139"/>
      <c r="H22" s="139"/>
      <c r="I22" s="139"/>
    </row>
    <row r="23" spans="1:10" ht="12.75" customHeight="1" x14ac:dyDescent="0.2">
      <c r="B23" s="160" t="s">
        <v>22</v>
      </c>
      <c r="C23" s="161"/>
      <c r="D23" s="161"/>
      <c r="E23" s="162"/>
      <c r="G23" s="139"/>
      <c r="H23" s="139"/>
    </row>
    <row r="24" spans="1:10" ht="12.95" customHeight="1" x14ac:dyDescent="0.2">
      <c r="B24" s="59"/>
      <c r="C24" s="164" t="s">
        <v>89</v>
      </c>
      <c r="D24" s="165"/>
      <c r="E24" s="166"/>
      <c r="G24" s="139"/>
      <c r="H24" s="139"/>
    </row>
    <row r="25" spans="1:10" ht="12.95" customHeight="1" x14ac:dyDescent="0.25">
      <c r="B25" s="133"/>
      <c r="C25" s="164" t="s">
        <v>90</v>
      </c>
      <c r="D25" s="165"/>
      <c r="E25" s="166"/>
      <c r="F25" s="143"/>
      <c r="G25" s="139"/>
      <c r="H25" s="139"/>
    </row>
    <row r="26" spans="1:10" ht="12.95" customHeight="1" x14ac:dyDescent="0.2">
      <c r="B26" s="91"/>
      <c r="C26" s="154" t="s">
        <v>60</v>
      </c>
      <c r="D26" s="155"/>
      <c r="E26" s="156"/>
      <c r="G26" s="139"/>
      <c r="H26" s="139"/>
    </row>
    <row r="27" spans="1:10" ht="12.95" customHeight="1" x14ac:dyDescent="0.2">
      <c r="B27" s="72"/>
      <c r="C27" s="154" t="s">
        <v>61</v>
      </c>
      <c r="D27" s="155"/>
      <c r="E27" s="156"/>
      <c r="F27" s="139"/>
      <c r="G27" s="139"/>
      <c r="H27" s="139"/>
    </row>
    <row r="28" spans="1:10" s="26" customFormat="1" ht="12.75" customHeight="1" x14ac:dyDescent="0.2">
      <c r="B28" s="140"/>
      <c r="C28" s="164" t="s">
        <v>93</v>
      </c>
      <c r="D28" s="155"/>
      <c r="E28" s="156"/>
      <c r="F28" s="141"/>
      <c r="G28" s="141"/>
      <c r="H28" s="141"/>
    </row>
    <row r="29" spans="1:10" ht="12.95" customHeight="1" x14ac:dyDescent="0.2">
      <c r="B29" s="92"/>
      <c r="C29" s="154" t="s">
        <v>33</v>
      </c>
      <c r="D29" s="155"/>
      <c r="E29" s="156"/>
    </row>
    <row r="30" spans="1:10" ht="12.95" customHeight="1" x14ac:dyDescent="0.2">
      <c r="B30" s="93"/>
      <c r="C30" s="154" t="s">
        <v>31</v>
      </c>
      <c r="D30" s="155"/>
      <c r="E30" s="156"/>
    </row>
    <row r="31" spans="1:10" ht="12.95" customHeight="1" thickBot="1" x14ac:dyDescent="0.25">
      <c r="B31" s="94"/>
      <c r="C31" s="157" t="s">
        <v>56</v>
      </c>
      <c r="D31" s="158"/>
      <c r="E31" s="159"/>
    </row>
    <row r="36" spans="1:1" x14ac:dyDescent="0.2">
      <c r="A36" s="45" t="s">
        <v>98</v>
      </c>
    </row>
  </sheetData>
  <sheetProtection selectLockedCells="1"/>
  <mergeCells count="10">
    <mergeCell ref="C29:E29"/>
    <mergeCell ref="C30:E30"/>
    <mergeCell ref="C31:E31"/>
    <mergeCell ref="B23:E23"/>
    <mergeCell ref="B6:D6"/>
    <mergeCell ref="C28:E28"/>
    <mergeCell ref="C24:E24"/>
    <mergeCell ref="C25:E25"/>
    <mergeCell ref="C26:E26"/>
    <mergeCell ref="C27:E27"/>
  </mergeCells>
  <phoneticPr fontId="5" type="noConversion"/>
  <conditionalFormatting sqref="F15">
    <cfRule type="cellIs" dxfId="44" priority="1" stopIfTrue="1" operator="notBetween">
      <formula>Limit_Norm_Low</formula>
      <formula>Limit_Norm_High</formula>
    </cfRule>
    <cfRule type="cellIs" dxfId="43" priority="2" stopIfTrue="1" operator="between">
      <formula>Limit_Norm_Low</formula>
      <formula>Limit_Norm_High</formula>
    </cfRule>
  </conditionalFormatting>
  <conditionalFormatting sqref="F8">
    <cfRule type="cellIs" dxfId="42" priority="3" stopIfTrue="1" operator="notBetween">
      <formula>Limit_Blank_Low</formula>
      <formula>Limit_Blank_High</formula>
    </cfRule>
    <cfRule type="cellIs" dxfId="41" priority="4" stopIfTrue="1" operator="between">
      <formula>Limit_Blank_Low</formula>
      <formula>"Limit_Blank_High"</formula>
    </cfRule>
  </conditionalFormatting>
  <conditionalFormatting sqref="F9">
    <cfRule type="cellIs" dxfId="40" priority="5" stopIfTrue="1" operator="notBetween">
      <formula>Limit_High_Low</formula>
      <formula>Limit_High_High</formula>
    </cfRule>
    <cfRule type="cellIs" dxfId="39" priority="6" stopIfTrue="1" operator="between">
      <formula>Limit_High_Low</formula>
      <formula>Limit_High_High</formula>
    </cfRule>
  </conditionalFormatting>
  <conditionalFormatting sqref="F10">
    <cfRule type="cellIs" dxfId="38" priority="7" stopIfTrue="1" operator="notBetween">
      <formula>Limit_Test_Low</formula>
      <formula>Limit_Test_High</formula>
    </cfRule>
    <cfRule type="cellIs" dxfId="37" priority="8" stopIfTrue="1" operator="between">
      <formula>Limit_Test_Low</formula>
      <formula>Limit_Test_High</formula>
    </cfRule>
  </conditionalFormatting>
  <conditionalFormatting sqref="F11">
    <cfRule type="cellIs" dxfId="36" priority="9" stopIfTrue="1" operator="notBetween">
      <formula>Limit_Low_Low</formula>
      <formula>Limit_Low_High</formula>
    </cfRule>
    <cfRule type="cellIs" dxfId="35" priority="10" stopIfTrue="1" operator="between">
      <formula>Limit_Low_Low</formula>
      <formula>Limit_Low_High</formula>
    </cfRule>
  </conditionalFormatting>
  <conditionalFormatting sqref="F13">
    <cfRule type="cellIs" dxfId="34" priority="11" stopIfTrue="1" operator="notBetween">
      <formula>Limit_SBlank_Low</formula>
      <formula>Limit_SBlank_High</formula>
    </cfRule>
    <cfRule type="cellIs" dxfId="33" priority="12" stopIfTrue="1" operator="between">
      <formula>Limit_SBlank_Low</formula>
      <formula>Limit_SBlank_High</formula>
    </cfRule>
  </conditionalFormatting>
  <conditionalFormatting sqref="F14">
    <cfRule type="cellIs" dxfId="32" priority="13" stopIfTrue="1" operator="notBetween">
      <formula>Limit_Scatter_Low</formula>
      <formula>Limit_Scatter_High</formula>
    </cfRule>
    <cfRule type="cellIs" dxfId="31" priority="14" stopIfTrue="1" operator="between">
      <formula>Limit_Scatter_Low</formula>
      <formula>Limit_Scatter_High</formula>
    </cfRule>
  </conditionalFormatting>
  <conditionalFormatting sqref="E8">
    <cfRule type="expression" dxfId="30" priority="15" stopIfTrue="1">
      <formula>(MAX(DCA_Blank_1,DCA_Blank_2,DCA_Blank_3) - MIN(DCA_Blank_1,DCA_Blank_2,DCA_Blank_3)) &gt; Average_Span_Limit_Blank</formula>
    </cfRule>
    <cfRule type="cellIs" dxfId="29" priority="16" stopIfTrue="1" operator="equal">
      <formula>0</formula>
    </cfRule>
  </conditionalFormatting>
  <conditionalFormatting sqref="E9">
    <cfRule type="expression" dxfId="28" priority="17" stopIfTrue="1">
      <formula>(MAX(DCA_High_1,DCA_High_2,DCA_High_3) - MIN(DCA_High_1,DCA_High_2,DCA_High_3)) &gt; Average_Span_Limit_High</formula>
    </cfRule>
    <cfRule type="cellIs" dxfId="27" priority="18" stopIfTrue="1" operator="equal">
      <formula>0</formula>
    </cfRule>
  </conditionalFormatting>
  <conditionalFormatting sqref="E10">
    <cfRule type="expression" dxfId="26" priority="19" stopIfTrue="1">
      <formula xml:space="preserve"> (MAX(DCA_Test_1,DCA_Test_2,DCA_Test_3) - MIN(DCA_Test_1,DCA_Test_2,DCA_Test_3)) &gt; Average_Span_Limit_Test</formula>
    </cfRule>
    <cfRule type="cellIs" dxfId="25" priority="20" stopIfTrue="1" operator="equal">
      <formula>0</formula>
    </cfRule>
  </conditionalFormatting>
  <conditionalFormatting sqref="E11">
    <cfRule type="expression" dxfId="24" priority="21" stopIfTrue="1">
      <formula>(MAX(DCA_Low_1,DCA_Low_2,DCA_Low_3) - MIN(DCA_Low_1,DCA_Low_2,DCA_Low_3)) &gt; Average_Span_Limit_Low</formula>
    </cfRule>
    <cfRule type="cellIs" dxfId="23" priority="22" stopIfTrue="1" operator="equal">
      <formula>0</formula>
    </cfRule>
  </conditionalFormatting>
  <conditionalFormatting sqref="E12">
    <cfRule type="expression" dxfId="22" priority="23" stopIfTrue="1">
      <formula xml:space="preserve"> (MAX(DCA_Var_1,DCA_Var_2,DCA_Var_3) - MIN(DCA_Var_1,DCA_Var_2,DCA_Var_3)) &gt; Average_Span_Limit_Var</formula>
    </cfRule>
    <cfRule type="cellIs" dxfId="21" priority="24" stopIfTrue="1" operator="equal">
      <formula>0</formula>
    </cfRule>
  </conditionalFormatting>
  <conditionalFormatting sqref="E13">
    <cfRule type="expression" dxfId="20" priority="25" stopIfTrue="1">
      <formula xml:space="preserve"> (MAX(DCA_SBlank_1,DCA_SBlank_2,DCA_SBlank_3) - MIN(DCA_SBlank_1,DCA_SBlank_2,DCA_SBlank_3)) &gt; Average_Span_Limit_SBlank</formula>
    </cfRule>
    <cfRule type="cellIs" dxfId="19" priority="26" stopIfTrue="1" operator="equal">
      <formula>0</formula>
    </cfRule>
  </conditionalFormatting>
  <conditionalFormatting sqref="E14">
    <cfRule type="expression" dxfId="18" priority="27" stopIfTrue="1">
      <formula xml:space="preserve"> (MAX(DCA_Scatter_1,DCA_Scatter_2,DCA_Scatter_3) - MIN(DCA_Scatter_1,DCA_Scatter_2,DCA_Scatter_3)) &gt; Average_Span_Limit_Scatter</formula>
    </cfRule>
    <cfRule type="cellIs" dxfId="17" priority="28" stopIfTrue="1" operator="equal">
      <formula>0</formula>
    </cfRule>
  </conditionalFormatting>
  <conditionalFormatting sqref="E15">
    <cfRule type="expression" dxfId="16" priority="29" stopIfTrue="1">
      <formula xml:space="preserve"> (MAX(DCA_Norm_1,DCA_Norm_2,DCA_Norm_3) - MIN(DCA_Norm_1,DCA_Norm_2,DCA_Norm_3)) &gt; Average_Span_Limit_Norm</formula>
    </cfRule>
    <cfRule type="cellIs" dxfId="15" priority="30" stopIfTrue="1" operator="equal">
      <formula>0</formula>
    </cfRule>
  </conditionalFormatting>
  <pageMargins left="0.75" right="0.75" top="1" bottom="1" header="0.5" footer="0.5"/>
  <pageSetup paperSize="9" orientation="landscape" r:id="rId1"/>
  <headerFooter alignWithMargins="0"/>
  <drawing r:id="rId2"/>
  <legacyDrawing r:id="rId3"/>
  <controls>
    <mc:AlternateContent xmlns:mc="http://schemas.openxmlformats.org/markup-compatibility/2006">
      <mc:Choice Requires="x14">
        <control shapeId="4220" r:id="rId4" name="cmdSave">
          <controlPr defaultSize="0" autoLine="0" r:id="rId5">
            <anchor moveWithCells="1">
              <from>
                <xdr:col>6</xdr:col>
                <xdr:colOff>9525</xdr:colOff>
                <xdr:row>28</xdr:row>
                <xdr:rowOff>0</xdr:rowOff>
              </from>
              <to>
                <xdr:col>7</xdr:col>
                <xdr:colOff>828675</xdr:colOff>
                <xdr:row>30</xdr:row>
                <xdr:rowOff>152400</xdr:rowOff>
              </to>
            </anchor>
          </controlPr>
        </control>
      </mc:Choice>
      <mc:Fallback>
        <control shapeId="4220" r:id="rId4" name="cmdSave"/>
      </mc:Fallback>
    </mc:AlternateContent>
    <mc:AlternateContent xmlns:mc="http://schemas.openxmlformats.org/markup-compatibility/2006">
      <mc:Choice Requires="x14">
        <control shapeId="4110" r:id="rId6" name="PrintNormalisationFilter">
          <controlPr defaultSize="0" autoLine="0" autoPict="0" r:id="rId7">
            <anchor moveWithCells="1" sizeWithCells="1">
              <from>
                <xdr:col>1</xdr:col>
                <xdr:colOff>0</xdr:colOff>
                <xdr:row>19</xdr:row>
                <xdr:rowOff>19050</xdr:rowOff>
              </from>
              <to>
                <xdr:col>7</xdr:col>
                <xdr:colOff>838200</xdr:colOff>
                <xdr:row>21</xdr:row>
                <xdr:rowOff>0</xdr:rowOff>
              </to>
            </anchor>
          </controlPr>
        </control>
      </mc:Choice>
      <mc:Fallback>
        <control shapeId="4110" r:id="rId6" name="PrintNormalisationFilter"/>
      </mc:Fallback>
    </mc:AlternateContent>
    <mc:AlternateContent xmlns:mc="http://schemas.openxmlformats.org/markup-compatibility/2006">
      <mc:Choice Requires="x14">
        <control shapeId="4109" r:id="rId8" name="PrintBoxLabel">
          <controlPr defaultSize="0" autoLine="0" autoPict="0" r:id="rId9">
            <anchor moveWithCells="1" sizeWithCells="1">
              <from>
                <xdr:col>1</xdr:col>
                <xdr:colOff>9525</xdr:colOff>
                <xdr:row>17</xdr:row>
                <xdr:rowOff>9525</xdr:rowOff>
              </from>
              <to>
                <xdr:col>8</xdr:col>
                <xdr:colOff>0</xdr:colOff>
                <xdr:row>18</xdr:row>
                <xdr:rowOff>142875</xdr:rowOff>
              </to>
            </anchor>
          </controlPr>
        </control>
      </mc:Choice>
      <mc:Fallback>
        <control shapeId="4109" r:id="rId8" name="PrintBoxLabel"/>
      </mc:Fallback>
    </mc:AlternateContent>
    <mc:AlternateContent xmlns:mc="http://schemas.openxmlformats.org/markup-compatibility/2006">
      <mc:Choice Requires="x14">
        <control shapeId="4097" r:id="rId10" name="cmdFilterSet">
          <controlPr defaultSize="0" autoLine="0" r:id="rId11">
            <anchor moveWithCells="1">
              <from>
                <xdr:col>1</xdr:col>
                <xdr:colOff>0</xdr:colOff>
                <xdr:row>3</xdr:row>
                <xdr:rowOff>28575</xdr:rowOff>
              </from>
              <to>
                <xdr:col>7</xdr:col>
                <xdr:colOff>838200</xdr:colOff>
                <xdr:row>5</xdr:row>
                <xdr:rowOff>0</xdr:rowOff>
              </to>
            </anchor>
          </controlPr>
        </control>
      </mc:Choice>
      <mc:Fallback>
        <control shapeId="4097" r:id="rId10" name="cmdFilterSe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2:M25"/>
  <sheetViews>
    <sheetView workbookViewId="0"/>
  </sheetViews>
  <sheetFormatPr defaultRowHeight="12.75" x14ac:dyDescent="0.2"/>
  <cols>
    <col min="1" max="1" width="8" customWidth="1"/>
    <col min="2" max="2" width="23.140625" style="107" customWidth="1"/>
    <col min="3" max="3" width="13.7109375" customWidth="1"/>
    <col min="4" max="4" width="9.7109375" customWidth="1"/>
    <col min="5" max="5" width="11.7109375" style="49" customWidth="1"/>
    <col min="6" max="6" width="9.7109375" style="30" customWidth="1"/>
    <col min="7" max="8" width="9.7109375" customWidth="1"/>
    <col min="9" max="9" width="10.7109375" style="119" customWidth="1"/>
    <col min="10" max="10" width="11.5703125" bestFit="1" customWidth="1"/>
  </cols>
  <sheetData>
    <row r="2" spans="2:13" s="60" customFormat="1" ht="38.25" x14ac:dyDescent="0.2">
      <c r="B2" s="78" t="s">
        <v>49</v>
      </c>
      <c r="C2" s="60" t="s">
        <v>86</v>
      </c>
      <c r="D2" s="60" t="s">
        <v>72</v>
      </c>
      <c r="E2" s="60" t="s">
        <v>50</v>
      </c>
      <c r="F2" s="167" t="s">
        <v>87</v>
      </c>
      <c r="G2" s="167"/>
      <c r="H2" s="167"/>
      <c r="I2" s="115" t="s">
        <v>68</v>
      </c>
    </row>
    <row r="3" spans="2:13" s="129" customFormat="1" ht="12.75" customHeight="1" x14ac:dyDescent="0.2">
      <c r="B3" s="131" t="s">
        <v>88</v>
      </c>
      <c r="C3" s="144">
        <v>30</v>
      </c>
      <c r="F3" s="178"/>
      <c r="G3" s="178"/>
      <c r="H3" s="178"/>
      <c r="I3" s="130"/>
    </row>
    <row r="4" spans="2:13" s="114" customFormat="1" x14ac:dyDescent="0.2">
      <c r="B4" s="132"/>
      <c r="C4" s="110"/>
      <c r="D4" s="113"/>
      <c r="E4" s="113"/>
      <c r="F4" s="110" t="s">
        <v>57</v>
      </c>
      <c r="G4" s="110" t="s">
        <v>59</v>
      </c>
      <c r="H4" s="110" t="s">
        <v>58</v>
      </c>
      <c r="I4" s="116" t="s">
        <v>62</v>
      </c>
    </row>
    <row r="5" spans="2:13" x14ac:dyDescent="0.2">
      <c r="B5" s="106" t="s">
        <v>37</v>
      </c>
      <c r="C5" s="145">
        <v>0.96009999999999995</v>
      </c>
      <c r="D5" s="27"/>
      <c r="E5" s="65"/>
      <c r="F5" s="123"/>
      <c r="G5" s="123"/>
      <c r="H5" s="123"/>
      <c r="I5" s="117" t="e">
        <f>AVERAGE(Ref_ND_Blank_Reading_1,Ref_ND_Blank_Reading_2,Ref_ND_Blank_Reading_3)</f>
        <v>#DIV/0!</v>
      </c>
    </row>
    <row r="6" spans="2:13" x14ac:dyDescent="0.2">
      <c r="B6" s="106" t="s">
        <v>73</v>
      </c>
      <c r="C6" s="145">
        <v>0.57920000000000005</v>
      </c>
      <c r="D6" s="70">
        <f>Ref_High*NPLBlank</f>
        <v>0.55608992000000002</v>
      </c>
      <c r="E6" s="104" t="e">
        <f>Ref_ND_High_Reading-NotBC_High</f>
        <v>#DIV/0!</v>
      </c>
      <c r="F6" s="123"/>
      <c r="G6" s="123"/>
      <c r="H6" s="123"/>
      <c r="I6" s="117" t="e">
        <f>AVERAGE(Ref_ND_High_Reading_1,Ref_ND_High_Reading_2,Ref_ND_High_Reading_3)</f>
        <v>#DIV/0!</v>
      </c>
    </row>
    <row r="7" spans="2:13" x14ac:dyDescent="0.2">
      <c r="B7" s="106" t="s">
        <v>74</v>
      </c>
      <c r="C7" s="145">
        <v>0.29509999999999997</v>
      </c>
      <c r="D7" s="70">
        <f>Ref_Test*NPLBlank</f>
        <v>0.28332550999999995</v>
      </c>
      <c r="E7" s="104" t="e">
        <f>Ref_ND_Test_Reading-NotBC_Test</f>
        <v>#DIV/0!</v>
      </c>
      <c r="F7" s="123"/>
      <c r="G7" s="123"/>
      <c r="H7" s="123"/>
      <c r="I7" s="117" t="e">
        <f>AVERAGE(Ref_ND_Test_Reading_1,Ref_ND_Test_Reading_2,Ref_ND_Test_Reading_3)</f>
        <v>#DIV/0!</v>
      </c>
    </row>
    <row r="8" spans="2:13" x14ac:dyDescent="0.2">
      <c r="B8" s="106" t="s">
        <v>75</v>
      </c>
      <c r="C8" s="145">
        <v>3.5999999999999999E-3</v>
      </c>
      <c r="D8" s="70">
        <f>Ref_Low*NPLBlank</f>
        <v>3.4563599999999999E-3</v>
      </c>
      <c r="E8" s="104" t="e">
        <f>Ref_ND_Low_Reading-NotBC_Low</f>
        <v>#DIV/0!</v>
      </c>
      <c r="F8" s="123"/>
      <c r="G8" s="123"/>
      <c r="H8" s="123"/>
      <c r="I8" s="117" t="e">
        <f>AVERAGE(Ref_ND_Low_Reading_1,Ref_ND_Low_Reading_2,Ref_ND_Low_Reading_3)</f>
        <v>#DIV/0!</v>
      </c>
    </row>
    <row r="9" spans="2:13" x14ac:dyDescent="0.2">
      <c r="B9" s="106"/>
      <c r="C9" s="145"/>
      <c r="D9" s="176" t="s">
        <v>77</v>
      </c>
      <c r="E9" s="177"/>
      <c r="F9" s="123"/>
      <c r="G9" s="123"/>
      <c r="H9" s="123"/>
      <c r="I9" s="117" t="e">
        <f>AVERAGE(Ref_ND_Var_Reading_1,Ref_ND_Var_Reading_2,Ref_ND_Var_Reading_3)</f>
        <v>#DIV/0!</v>
      </c>
    </row>
    <row r="10" spans="2:13" x14ac:dyDescent="0.2">
      <c r="C10" s="145"/>
      <c r="D10" s="174" t="s">
        <v>69</v>
      </c>
      <c r="E10" s="175"/>
      <c r="F10" s="123"/>
      <c r="G10" s="123"/>
      <c r="H10" s="123"/>
      <c r="I10" s="117" t="e">
        <f>AVERAGE(Ref_Scatter_Blank_Reading_1,Ref_Scatter_Blank_Reading_2,Ref_Scatter_Blank_Reading_3)</f>
        <v>#DIV/0!</v>
      </c>
      <c r="J10" s="26"/>
    </row>
    <row r="11" spans="2:13" x14ac:dyDescent="0.2">
      <c r="B11" s="106" t="s">
        <v>76</v>
      </c>
      <c r="C11" s="145">
        <v>3.4099999999999998E-2</v>
      </c>
      <c r="D11" s="70" t="e">
        <f>Ref_Scatter_Reading/(Ref_Scatter_Blank_Reading*(NPLBlank/Ref_ND_Blank_Reading))</f>
        <v>#DIV/0!</v>
      </c>
      <c r="E11" s="104" t="e">
        <f>BC_Scatter-Ref_Scatter</f>
        <v>#DIV/0!</v>
      </c>
      <c r="F11" s="123"/>
      <c r="G11" s="123"/>
      <c r="H11" s="123"/>
      <c r="I11" s="117" t="e">
        <f>AVERAGE(Ref_Scatter_Reading_1,Ref_Scatter_Reading_2,Ref_Scatter_Reading_3)</f>
        <v>#DIV/0!</v>
      </c>
      <c r="J11" s="26"/>
    </row>
    <row r="12" spans="2:13" ht="12.75" customHeight="1" x14ac:dyDescent="0.2">
      <c r="B12" s="121" t="s">
        <v>78</v>
      </c>
      <c r="C12" s="146">
        <v>1.474</v>
      </c>
      <c r="D12" s="170" t="s">
        <v>67</v>
      </c>
      <c r="E12" s="171"/>
      <c r="F12" s="138"/>
      <c r="G12" s="138"/>
      <c r="H12" s="123"/>
      <c r="I12" s="117" t="e">
        <f>AVERAGE(Ref_Normalisation_Reading_1,Ref_Normalisation_Reading_2,Ref_Normalisation_Reading_3)</f>
        <v>#DIV/0!</v>
      </c>
    </row>
    <row r="13" spans="2:13" ht="13.5" customHeight="1" thickBot="1" x14ac:dyDescent="0.25">
      <c r="B13" s="122" t="s">
        <v>79</v>
      </c>
      <c r="D13" s="28"/>
      <c r="E13" s="105"/>
      <c r="F13" s="168" t="s">
        <v>66</v>
      </c>
      <c r="G13" s="168"/>
      <c r="H13" s="168"/>
      <c r="I13" s="118"/>
      <c r="J13" s="111"/>
      <c r="K13" s="112"/>
      <c r="L13" s="112"/>
      <c r="M13" s="112"/>
    </row>
    <row r="14" spans="2:13" x14ac:dyDescent="0.2">
      <c r="B14" s="172" t="s">
        <v>36</v>
      </c>
      <c r="C14" s="173"/>
      <c r="D14" s="27"/>
      <c r="E14" s="65"/>
      <c r="F14" s="169"/>
      <c r="G14" s="169"/>
      <c r="H14" s="169"/>
      <c r="I14" s="76" t="e">
        <f>ROUND(-LOG(Ref_Normalisation_Reading),3)</f>
        <v>#DIV/0!</v>
      </c>
    </row>
    <row r="15" spans="2:13" x14ac:dyDescent="0.2">
      <c r="B15" s="108" t="s">
        <v>34</v>
      </c>
      <c r="C15" s="74">
        <v>1.53</v>
      </c>
      <c r="D15" s="27"/>
      <c r="E15" s="65"/>
      <c r="F15" s="54"/>
    </row>
    <row r="16" spans="2:13" ht="13.5" thickBot="1" x14ac:dyDescent="0.25">
      <c r="B16" s="109" t="s">
        <v>35</v>
      </c>
      <c r="C16" s="75">
        <v>1.474</v>
      </c>
      <c r="D16" s="27"/>
      <c r="E16" s="65"/>
      <c r="F16" s="54"/>
    </row>
    <row r="17" spans="3:7" ht="13.5" thickBot="1" x14ac:dyDescent="0.25"/>
    <row r="18" spans="3:7" x14ac:dyDescent="0.2">
      <c r="C18" s="179" t="s">
        <v>22</v>
      </c>
      <c r="D18" s="180"/>
      <c r="E18" s="180"/>
      <c r="F18" s="181"/>
      <c r="G18" s="46"/>
    </row>
    <row r="19" spans="3:7" x14ac:dyDescent="0.2">
      <c r="C19" s="59"/>
      <c r="D19" s="187" t="s">
        <v>89</v>
      </c>
      <c r="E19" s="182"/>
      <c r="F19" s="183"/>
      <c r="G19" s="46"/>
    </row>
    <row r="20" spans="3:7" x14ac:dyDescent="0.2">
      <c r="C20" s="133"/>
      <c r="D20" s="126" t="s">
        <v>90</v>
      </c>
      <c r="E20" s="124"/>
      <c r="F20" s="125"/>
      <c r="G20" s="46"/>
    </row>
    <row r="21" spans="3:7" x14ac:dyDescent="0.2">
      <c r="C21" s="91"/>
      <c r="D21" s="188" t="s">
        <v>60</v>
      </c>
      <c r="E21" s="189"/>
      <c r="F21" s="190"/>
      <c r="G21" s="46"/>
    </row>
    <row r="22" spans="3:7" x14ac:dyDescent="0.2">
      <c r="C22" s="71"/>
      <c r="D22" s="182" t="s">
        <v>53</v>
      </c>
      <c r="E22" s="182"/>
      <c r="F22" s="183"/>
      <c r="G22" s="29"/>
    </row>
    <row r="23" spans="3:7" x14ac:dyDescent="0.2">
      <c r="C23" s="72"/>
      <c r="D23" s="188" t="s">
        <v>51</v>
      </c>
      <c r="E23" s="189"/>
      <c r="F23" s="190"/>
      <c r="G23" s="29"/>
    </row>
    <row r="24" spans="3:7" x14ac:dyDescent="0.2">
      <c r="C24" s="73"/>
      <c r="D24" s="188" t="s">
        <v>52</v>
      </c>
      <c r="E24" s="189"/>
      <c r="F24" s="190"/>
      <c r="G24" s="29"/>
    </row>
    <row r="25" spans="3:7" ht="13.5" thickBot="1" x14ac:dyDescent="0.25">
      <c r="C25" s="79"/>
      <c r="D25" s="184" t="s">
        <v>55</v>
      </c>
      <c r="E25" s="185"/>
      <c r="F25" s="186"/>
    </row>
  </sheetData>
  <sheetProtection selectLockedCells="1"/>
  <mergeCells count="14">
    <mergeCell ref="C18:F18"/>
    <mergeCell ref="D22:F22"/>
    <mergeCell ref="D25:F25"/>
    <mergeCell ref="D19:F19"/>
    <mergeCell ref="D24:F24"/>
    <mergeCell ref="D23:F23"/>
    <mergeCell ref="D21:F21"/>
    <mergeCell ref="F2:H2"/>
    <mergeCell ref="F13:H14"/>
    <mergeCell ref="D12:E12"/>
    <mergeCell ref="B14:C14"/>
    <mergeCell ref="D10:E10"/>
    <mergeCell ref="D9:E9"/>
    <mergeCell ref="F3:H3"/>
  </mergeCells>
  <phoneticPr fontId="5" type="noConversion"/>
  <conditionalFormatting sqref="I11">
    <cfRule type="cellIs" dxfId="14" priority="3" stopIfTrue="1" operator="notBetween">
      <formula>BC_Scatter-(BC_Scatter*Test_Limit_Scatter)</formula>
      <formula>BC_Scatter+(BC_Scatter*Test_Limit_Scatter)</formula>
    </cfRule>
  </conditionalFormatting>
  <conditionalFormatting sqref="I5">
    <cfRule type="cellIs" dxfId="13" priority="4" stopIfTrue="1" operator="notBetween">
      <formula>NPLBlank-(Average_Span_Limit_Reference_Blank)</formula>
      <formula>NPLBlank+(Average_Span_Limit_Reference_Blank)</formula>
    </cfRule>
  </conditionalFormatting>
  <conditionalFormatting sqref="I6">
    <cfRule type="cellIs" dxfId="12" priority="5" stopIfTrue="1" operator="notBetween">
      <formula>NotBC_High-(Test_Limit_High)</formula>
      <formula>NotBC_High+(Test_Limit_High)</formula>
    </cfRule>
  </conditionalFormatting>
  <conditionalFormatting sqref="I7">
    <cfRule type="cellIs" dxfId="11" priority="6" stopIfTrue="1" operator="notBetween">
      <formula>NotBC_Test-(Test_Limit_Test)</formula>
      <formula>NotBC_Test+(Test_Limit_Test)</formula>
    </cfRule>
  </conditionalFormatting>
  <conditionalFormatting sqref="I8">
    <cfRule type="cellIs" dxfId="10" priority="7" stopIfTrue="1" operator="notBetween">
      <formula>NotBC_Low-(Test_Limit_Low)</formula>
      <formula>NotBC_Low+(Test_Limit_Low)</formula>
    </cfRule>
  </conditionalFormatting>
  <conditionalFormatting sqref="E6">
    <cfRule type="cellIs" dxfId="9" priority="8" stopIfTrue="1" operator="notBetween">
      <formula>Test_Limit_High/100</formula>
      <formula>-Test_Limit_High/100</formula>
    </cfRule>
    <cfRule type="cellIs" dxfId="8" priority="9" stopIfTrue="1" operator="between">
      <formula>Test_Limit_High/100</formula>
      <formula>-Test_Limit_High/100</formula>
    </cfRule>
  </conditionalFormatting>
  <conditionalFormatting sqref="E7">
    <cfRule type="cellIs" dxfId="7" priority="10" stopIfTrue="1" operator="notBetween">
      <formula>Test_Limit_Test/100</formula>
      <formula>-Test_Limit_Test/100</formula>
    </cfRule>
    <cfRule type="cellIs" dxfId="6" priority="11" stopIfTrue="1" operator="between">
      <formula>Test_Limit_Test/100</formula>
      <formula>-Test_Limit_Test/100</formula>
    </cfRule>
  </conditionalFormatting>
  <conditionalFormatting sqref="E8">
    <cfRule type="cellIs" dxfId="5" priority="12" stopIfTrue="1" operator="notBetween">
      <formula>Test_Limit_Low/100</formula>
      <formula>-Test_Limit_Low/100</formula>
    </cfRule>
    <cfRule type="cellIs" dxfId="4" priority="13" stopIfTrue="1" operator="between">
      <formula>Test_Limit_Low/100</formula>
      <formula>-Test_Limit_Low/100</formula>
    </cfRule>
  </conditionalFormatting>
  <conditionalFormatting sqref="E11">
    <cfRule type="cellIs" dxfId="3" priority="20" stopIfTrue="1" operator="notBetween">
      <formula>(-Ref_Scatter*Test_Limit_Scatter)</formula>
      <formula>(Ref_Scatter*Test_Limit_Scatter)</formula>
    </cfRule>
    <cfRule type="cellIs" dxfId="2" priority="21" stopIfTrue="1" operator="between">
      <formula>(-Ref_Scatter*Test_Limit_Scatter)</formula>
      <formula>(Ref_Scatter*Test_Limit_Scatter)</formula>
    </cfRule>
  </conditionalFormatting>
  <conditionalFormatting sqref="G12">
    <cfRule type="cellIs" dxfId="1" priority="1" stopIfTrue="1" operator="notBetween">
      <formula>Ref_Normalisation_Reading_1-Average_Span_Limit_Reference_Norm</formula>
      <formula>Ref_Normalisation_Reading_1+Average_Span_Limit_Reference_Norm</formula>
    </cfRule>
  </conditionalFormatting>
  <conditionalFormatting sqref="H12">
    <cfRule type="cellIs" dxfId="0" priority="2" stopIfTrue="1" operator="notBetween">
      <formula>MIN(Ref_Normalisation_Reading_1,Ref_Normalisation_Reading_2)+Average_Span_Limit_Reference_Norm</formula>
      <formula>MAX(Ref_Normalisation_Reading_1,Ref_Normalisation_Reading_2)-Average_Span_Limit_Reference_Norm</formula>
    </cfRule>
  </conditionalFormatting>
  <pageMargins left="0.75" right="0.75" top="1" bottom="1" header="0.5" footer="0.5"/>
  <pageSetup paperSize="9"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3:F14"/>
  <sheetViews>
    <sheetView workbookViewId="0"/>
  </sheetViews>
  <sheetFormatPr defaultRowHeight="12.75" x14ac:dyDescent="0.2"/>
  <cols>
    <col min="2" max="2" width="9.140625" customWidth="1"/>
    <col min="3" max="3" width="12.42578125" customWidth="1"/>
    <col min="4" max="4" width="10.85546875" bestFit="1" customWidth="1"/>
    <col min="5" max="5" width="23.5703125" customWidth="1"/>
    <col min="6" max="6" width="16.42578125" bestFit="1" customWidth="1"/>
  </cols>
  <sheetData>
    <row r="3" spans="2:6" ht="15.75" x14ac:dyDescent="0.25">
      <c r="C3" s="147" t="s">
        <v>96</v>
      </c>
    </row>
    <row r="4" spans="2:6" ht="15.75" x14ac:dyDescent="0.25">
      <c r="C4" s="147" t="str">
        <f>'MFWI-00074-SUD-F1'!A1</f>
        <v>DCA Filter Set Spreadsheet Rev. 1.0</v>
      </c>
    </row>
    <row r="5" spans="2:6" ht="15.75" x14ac:dyDescent="0.25">
      <c r="C5" s="147"/>
    </row>
    <row r="6" spans="2:6" ht="18" x14ac:dyDescent="0.25">
      <c r="B6" s="128"/>
      <c r="C6" s="147" t="s">
        <v>97</v>
      </c>
      <c r="D6" s="148">
        <f>Filter_Set_Number</f>
        <v>0</v>
      </c>
    </row>
    <row r="8" spans="2:6" x14ac:dyDescent="0.2">
      <c r="D8" s="29"/>
      <c r="E8" s="151"/>
    </row>
    <row r="10" spans="2:6" ht="59.25" customHeight="1" x14ac:dyDescent="0.2">
      <c r="D10" s="152" t="s">
        <v>94</v>
      </c>
      <c r="E10" s="151"/>
    </row>
    <row r="11" spans="2:6" ht="59.25" customHeight="1" x14ac:dyDescent="0.2">
      <c r="D11" s="153" t="s">
        <v>95</v>
      </c>
      <c r="E11" s="151"/>
    </row>
    <row r="12" spans="2:6" x14ac:dyDescent="0.2">
      <c r="E12" s="151"/>
    </row>
    <row r="13" spans="2:6" ht="15" x14ac:dyDescent="0.2">
      <c r="C13" s="149"/>
    </row>
    <row r="14" spans="2:6" x14ac:dyDescent="0.2">
      <c r="F14" s="150"/>
    </row>
  </sheetData>
  <pageMargins left="0.7" right="0.7" top="0.75" bottom="0.75" header="0.3" footer="0.3"/>
  <pageSetup paperSize="9" orientation="landscape"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6:N25"/>
  <sheetViews>
    <sheetView workbookViewId="0">
      <selection activeCell="N11" sqref="N11"/>
    </sheetView>
  </sheetViews>
  <sheetFormatPr defaultRowHeight="12.75" x14ac:dyDescent="0.2"/>
  <cols>
    <col min="3" max="3" width="14.7109375" bestFit="1" customWidth="1"/>
    <col min="4" max="4" width="12" style="55" customWidth="1"/>
    <col min="5" max="5" width="3.7109375" style="95" customWidth="1"/>
    <col min="6" max="6" width="12" style="55" customWidth="1"/>
    <col min="7" max="7" width="3.7109375" style="55" customWidth="1"/>
    <col min="8" max="8" width="12" style="55" customWidth="1"/>
    <col min="9" max="9" width="3.7109375" style="55" customWidth="1"/>
    <col min="10" max="11" width="8.7109375" customWidth="1"/>
    <col min="12" max="12" width="3.7109375" customWidth="1"/>
  </cols>
  <sheetData>
    <row r="6" spans="2:14" s="58" customFormat="1" ht="63.75" x14ac:dyDescent="0.2">
      <c r="D6" s="68" t="s">
        <v>43</v>
      </c>
      <c r="E6" s="96"/>
      <c r="F6" s="68" t="s">
        <v>71</v>
      </c>
      <c r="G6" s="68"/>
      <c r="H6" s="68" t="s">
        <v>70</v>
      </c>
      <c r="I6" s="68"/>
      <c r="J6" s="163" t="s">
        <v>82</v>
      </c>
      <c r="K6" s="163"/>
      <c r="L6" s="68"/>
      <c r="M6" s="68" t="s">
        <v>47</v>
      </c>
    </row>
    <row r="7" spans="2:14" s="56" customFormat="1" x14ac:dyDescent="0.2">
      <c r="D7" s="97"/>
      <c r="E7" s="98"/>
      <c r="F7" s="97"/>
      <c r="G7" s="97"/>
      <c r="H7" s="97"/>
      <c r="I7" s="97"/>
      <c r="J7" s="41" t="s">
        <v>1</v>
      </c>
      <c r="K7" s="41" t="s">
        <v>0</v>
      </c>
      <c r="L7" s="41"/>
      <c r="M7" s="99" t="s">
        <v>48</v>
      </c>
    </row>
    <row r="8" spans="2:14" x14ac:dyDescent="0.2">
      <c r="B8" s="29"/>
      <c r="C8" s="57" t="s">
        <v>38</v>
      </c>
      <c r="D8" s="134">
        <v>99.3</v>
      </c>
      <c r="E8" s="100"/>
      <c r="F8" s="135">
        <v>3.0000000000000001E-3</v>
      </c>
      <c r="G8" s="101"/>
      <c r="H8" s="135">
        <v>2E-3</v>
      </c>
      <c r="I8" s="101"/>
      <c r="J8" s="137">
        <v>90</v>
      </c>
      <c r="K8" s="137">
        <v>105</v>
      </c>
      <c r="L8" s="43"/>
      <c r="M8" s="82" t="s">
        <v>15</v>
      </c>
    </row>
    <row r="9" spans="2:14" x14ac:dyDescent="0.2">
      <c r="B9" s="29"/>
      <c r="C9" s="57" t="s">
        <v>39</v>
      </c>
      <c r="D9" s="134">
        <v>54.9</v>
      </c>
      <c r="E9" s="100"/>
      <c r="F9" s="135">
        <v>1E-3</v>
      </c>
      <c r="G9" s="101"/>
      <c r="H9" s="135">
        <v>1E-3</v>
      </c>
      <c r="I9" s="101"/>
      <c r="J9" s="137">
        <v>50</v>
      </c>
      <c r="K9" s="137">
        <v>60</v>
      </c>
      <c r="L9" s="43"/>
      <c r="M9" s="137">
        <v>0.9</v>
      </c>
    </row>
    <row r="10" spans="2:14" x14ac:dyDescent="0.2">
      <c r="B10" s="29"/>
      <c r="C10" s="57" t="s">
        <v>40</v>
      </c>
      <c r="D10" s="134">
        <v>29.1</v>
      </c>
      <c r="E10" s="100"/>
      <c r="F10" s="135">
        <v>1E-3</v>
      </c>
      <c r="G10" s="101"/>
      <c r="H10" s="135">
        <v>1E-3</v>
      </c>
      <c r="I10" s="101"/>
      <c r="J10" s="137">
        <v>25</v>
      </c>
      <c r="K10" s="137">
        <v>30</v>
      </c>
      <c r="L10" s="43"/>
      <c r="M10" s="137">
        <v>0.7</v>
      </c>
    </row>
    <row r="11" spans="2:14" x14ac:dyDescent="0.2">
      <c r="B11" s="29"/>
      <c r="C11" s="57" t="s">
        <v>41</v>
      </c>
      <c r="D11" s="134">
        <v>0.4</v>
      </c>
      <c r="E11" s="100"/>
      <c r="F11" s="135">
        <v>5.0000000000000001E-4</v>
      </c>
      <c r="G11" s="101"/>
      <c r="H11" s="135">
        <v>5.0000000000000001E-4</v>
      </c>
      <c r="I11" s="101"/>
      <c r="J11" s="137">
        <v>0.1</v>
      </c>
      <c r="K11" s="137">
        <v>1</v>
      </c>
      <c r="L11" s="43"/>
      <c r="M11" s="137">
        <v>0.25</v>
      </c>
      <c r="N11">
        <f>Test_Limit_Low/100</f>
        <v>2.5000000000000001E-3</v>
      </c>
    </row>
    <row r="12" spans="2:14" x14ac:dyDescent="0.2">
      <c r="B12" s="29"/>
      <c r="C12" s="49" t="s">
        <v>44</v>
      </c>
      <c r="D12" s="101" t="s">
        <v>15</v>
      </c>
      <c r="E12" s="101"/>
      <c r="F12" s="135">
        <v>1E-3</v>
      </c>
      <c r="G12" s="101"/>
      <c r="H12" s="135">
        <v>1E-3</v>
      </c>
      <c r="I12" s="101"/>
      <c r="J12" s="102" t="s">
        <v>15</v>
      </c>
      <c r="K12" s="102" t="s">
        <v>15</v>
      </c>
      <c r="L12" s="103"/>
      <c r="M12" s="102" t="s">
        <v>15</v>
      </c>
    </row>
    <row r="13" spans="2:14" x14ac:dyDescent="0.2">
      <c r="B13" s="29"/>
      <c r="C13" s="57" t="s">
        <v>42</v>
      </c>
      <c r="D13" s="134">
        <v>93</v>
      </c>
      <c r="E13" s="100"/>
      <c r="F13" s="135">
        <v>2E-3</v>
      </c>
      <c r="G13" s="101"/>
      <c r="H13" s="135">
        <v>2E-3</v>
      </c>
      <c r="I13" s="101"/>
      <c r="J13" s="137">
        <v>90</v>
      </c>
      <c r="K13" s="137">
        <v>105</v>
      </c>
      <c r="L13" s="43"/>
      <c r="M13" s="102" t="s">
        <v>15</v>
      </c>
    </row>
    <row r="14" spans="2:14" x14ac:dyDescent="0.2">
      <c r="B14" s="29"/>
      <c r="C14" s="49" t="s">
        <v>45</v>
      </c>
      <c r="D14" s="82" t="s">
        <v>15</v>
      </c>
      <c r="E14" s="103"/>
      <c r="F14" s="136">
        <v>1E-3</v>
      </c>
      <c r="G14" s="82"/>
      <c r="H14" s="136">
        <v>1E-3</v>
      </c>
      <c r="I14" s="82"/>
      <c r="J14" s="137">
        <v>3</v>
      </c>
      <c r="K14" s="137">
        <v>5</v>
      </c>
      <c r="L14" s="43"/>
      <c r="M14" s="137">
        <v>0.25</v>
      </c>
    </row>
    <row r="15" spans="2:14" x14ac:dyDescent="0.2">
      <c r="B15" s="29"/>
      <c r="C15" s="49" t="s">
        <v>46</v>
      </c>
      <c r="D15" s="82" t="s">
        <v>15</v>
      </c>
      <c r="E15" s="103"/>
      <c r="F15" s="136">
        <v>1E-3</v>
      </c>
      <c r="G15" s="82"/>
      <c r="H15" s="136">
        <v>1E-3</v>
      </c>
      <c r="I15" s="82"/>
      <c r="J15" s="137">
        <v>1</v>
      </c>
      <c r="K15" s="137">
        <v>4</v>
      </c>
      <c r="L15" s="43"/>
      <c r="M15" s="82" t="s">
        <v>15</v>
      </c>
    </row>
    <row r="16" spans="2:14" x14ac:dyDescent="0.2">
      <c r="J16" s="29"/>
      <c r="K16" s="29"/>
      <c r="L16" s="29"/>
      <c r="M16" s="29"/>
    </row>
    <row r="17" spans="4:13" ht="13.5" thickBot="1" x14ac:dyDescent="0.25">
      <c r="J17" s="29"/>
      <c r="K17" s="29"/>
      <c r="L17" s="29"/>
      <c r="M17" s="29"/>
    </row>
    <row r="18" spans="4:13" x14ac:dyDescent="0.2">
      <c r="D18" s="179" t="s">
        <v>22</v>
      </c>
      <c r="E18" s="180"/>
      <c r="F18" s="180"/>
      <c r="G18" s="181"/>
    </row>
    <row r="19" spans="4:13" x14ac:dyDescent="0.2">
      <c r="D19" s="59"/>
      <c r="E19" s="187" t="s">
        <v>89</v>
      </c>
      <c r="F19" s="182"/>
      <c r="G19" s="183"/>
    </row>
    <row r="20" spans="4:13" x14ac:dyDescent="0.2">
      <c r="D20" s="133"/>
      <c r="E20" s="126" t="s">
        <v>92</v>
      </c>
      <c r="F20" s="124"/>
      <c r="G20" s="125"/>
    </row>
    <row r="21" spans="4:13" x14ac:dyDescent="0.2">
      <c r="D21" s="91"/>
      <c r="E21" s="188" t="s">
        <v>60</v>
      </c>
      <c r="F21" s="189"/>
      <c r="G21" s="190"/>
    </row>
    <row r="22" spans="4:13" x14ac:dyDescent="0.2">
      <c r="D22" s="71"/>
      <c r="E22" s="182" t="s">
        <v>53</v>
      </c>
      <c r="F22" s="182"/>
      <c r="G22" s="183"/>
    </row>
    <row r="23" spans="4:13" x14ac:dyDescent="0.2">
      <c r="D23" s="72"/>
      <c r="E23" s="188" t="s">
        <v>51</v>
      </c>
      <c r="F23" s="189"/>
      <c r="G23" s="190"/>
    </row>
    <row r="24" spans="4:13" x14ac:dyDescent="0.2">
      <c r="D24" s="73"/>
      <c r="E24" s="188" t="s">
        <v>52</v>
      </c>
      <c r="F24" s="189"/>
      <c r="G24" s="190"/>
    </row>
    <row r="25" spans="4:13" ht="13.5" thickBot="1" x14ac:dyDescent="0.25">
      <c r="D25" s="79"/>
      <c r="E25" s="184" t="s">
        <v>55</v>
      </c>
      <c r="F25" s="185"/>
      <c r="G25" s="186"/>
    </row>
  </sheetData>
  <sheetProtection selectLockedCells="1"/>
  <mergeCells count="8">
    <mergeCell ref="J6:K6"/>
    <mergeCell ref="E25:G25"/>
    <mergeCell ref="D18:G18"/>
    <mergeCell ref="E19:G19"/>
    <mergeCell ref="E21:G21"/>
    <mergeCell ref="E22:G22"/>
    <mergeCell ref="E23:G23"/>
    <mergeCell ref="E24:G24"/>
  </mergeCells>
  <phoneticPr fontId="5" type="noConversion"/>
  <pageMargins left="0.75" right="0.75" top="1" bottom="1" header="0.5" footer="0.5"/>
  <pageSetup paperSize="9"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M27"/>
  <sheetViews>
    <sheetView topLeftCell="A2" workbookViewId="0">
      <selection activeCell="I41" sqref="I41"/>
    </sheetView>
  </sheetViews>
  <sheetFormatPr defaultColWidth="9.7109375" defaultRowHeight="12.75" x14ac:dyDescent="0.2"/>
  <cols>
    <col min="1" max="1" width="12.42578125" customWidth="1"/>
  </cols>
  <sheetData>
    <row r="2" spans="1:13" s="35" customFormat="1" ht="15.75" x14ac:dyDescent="0.25">
      <c r="A2" s="39" t="s">
        <v>21</v>
      </c>
      <c r="B2" s="37">
        <f>Filter_Set_Number</f>
        <v>0</v>
      </c>
      <c r="C2" s="37"/>
      <c r="D2" s="38"/>
      <c r="E2" s="34"/>
      <c r="F2" s="34"/>
      <c r="G2" s="32"/>
    </row>
    <row r="3" spans="1:13" s="35" customFormat="1" ht="15.75" x14ac:dyDescent="0.25">
      <c r="A3" s="32"/>
      <c r="B3" s="36"/>
      <c r="C3" s="33"/>
      <c r="D3" s="34"/>
      <c r="M3" s="50" t="s">
        <v>32</v>
      </c>
    </row>
    <row r="4" spans="1:13" x14ac:dyDescent="0.2">
      <c r="A4" s="1"/>
      <c r="B4" s="1" t="s">
        <v>2</v>
      </c>
      <c r="C4" s="1"/>
      <c r="D4" s="1"/>
      <c r="E4" s="1"/>
      <c r="F4" s="1"/>
      <c r="G4" s="1"/>
      <c r="H4" s="1"/>
      <c r="I4" s="1"/>
      <c r="J4" s="1"/>
      <c r="K4" s="1"/>
      <c r="L4" s="1"/>
      <c r="M4" s="1"/>
    </row>
    <row r="5" spans="1:13" x14ac:dyDescent="0.2">
      <c r="A5" s="1"/>
      <c r="B5" s="11">
        <v>1</v>
      </c>
      <c r="C5" s="11">
        <v>2</v>
      </c>
      <c r="D5" s="11">
        <v>3</v>
      </c>
      <c r="E5" s="12">
        <v>4</v>
      </c>
      <c r="F5" s="13">
        <v>5</v>
      </c>
      <c r="G5" s="13">
        <v>6</v>
      </c>
      <c r="H5" s="13">
        <v>7</v>
      </c>
      <c r="I5" s="14">
        <v>8</v>
      </c>
      <c r="J5" s="14">
        <v>9</v>
      </c>
      <c r="K5" s="14">
        <v>10</v>
      </c>
      <c r="L5" s="14">
        <v>11</v>
      </c>
      <c r="M5" s="15">
        <v>12</v>
      </c>
    </row>
    <row r="6" spans="1:13" x14ac:dyDescent="0.2">
      <c r="A6" s="1" t="s">
        <v>16</v>
      </c>
      <c r="B6" s="16">
        <v>1</v>
      </c>
      <c r="C6" s="2">
        <v>1</v>
      </c>
      <c r="D6" s="2">
        <v>3</v>
      </c>
      <c r="E6" s="2">
        <v>0</v>
      </c>
      <c r="F6" s="21">
        <f>INT(B2/100)</f>
        <v>0</v>
      </c>
      <c r="G6" s="21">
        <f>INT(B2/10)-(F6*10)</f>
        <v>0</v>
      </c>
      <c r="H6" s="21">
        <f>INT((B2/1)-(F6*100)-(G6*10))</f>
        <v>0</v>
      </c>
      <c r="I6" s="22">
        <v>0</v>
      </c>
      <c r="J6" s="22">
        <v>0</v>
      </c>
      <c r="K6" s="22">
        <v>0</v>
      </c>
      <c r="L6" s="22">
        <v>0</v>
      </c>
      <c r="M6" s="23">
        <f>MOD(10-MOD(3*(B6+D6+F6+H6+J6+L6)+C6+E6+G6+I6+K6,10),10)</f>
        <v>7</v>
      </c>
    </row>
    <row r="7" spans="1:13" x14ac:dyDescent="0.2">
      <c r="A7" s="1" t="s">
        <v>18</v>
      </c>
      <c r="B7" s="16">
        <v>2</v>
      </c>
      <c r="C7" s="2">
        <v>1</v>
      </c>
      <c r="D7" s="2">
        <v>3</v>
      </c>
      <c r="E7" s="2">
        <v>1</v>
      </c>
      <c r="F7" s="21">
        <f t="shared" ref="F7:H12" si="0">F6</f>
        <v>0</v>
      </c>
      <c r="G7" s="21">
        <f t="shared" si="0"/>
        <v>0</v>
      </c>
      <c r="H7" s="21">
        <f t="shared" si="0"/>
        <v>0</v>
      </c>
      <c r="I7" s="22">
        <v>0</v>
      </c>
      <c r="J7" s="22">
        <v>0</v>
      </c>
      <c r="K7" s="22">
        <v>0</v>
      </c>
      <c r="L7" s="22">
        <v>0</v>
      </c>
      <c r="M7" s="23">
        <f t="shared" ref="M7:M12" si="1">MOD(10-MOD(3*(B7+D7+F7+H7+J7+L7)+C7+E7+G7+I7+K7,10),10)</f>
        <v>3</v>
      </c>
    </row>
    <row r="8" spans="1:13" x14ac:dyDescent="0.2">
      <c r="A8" s="1" t="s">
        <v>19</v>
      </c>
      <c r="B8" s="16">
        <v>2</v>
      </c>
      <c r="C8" s="2">
        <v>1</v>
      </c>
      <c r="D8" s="2">
        <v>3</v>
      </c>
      <c r="E8" s="2">
        <v>2</v>
      </c>
      <c r="F8" s="21">
        <f t="shared" si="0"/>
        <v>0</v>
      </c>
      <c r="G8" s="21">
        <f t="shared" si="0"/>
        <v>0</v>
      </c>
      <c r="H8" s="21">
        <f t="shared" si="0"/>
        <v>0</v>
      </c>
      <c r="I8" s="22">
        <v>0</v>
      </c>
      <c r="J8" s="22">
        <v>0</v>
      </c>
      <c r="K8" s="22">
        <v>0</v>
      </c>
      <c r="L8" s="22">
        <v>0</v>
      </c>
      <c r="M8" s="23">
        <f t="shared" si="1"/>
        <v>2</v>
      </c>
    </row>
    <row r="9" spans="1:13" x14ac:dyDescent="0.2">
      <c r="A9" s="40" t="s">
        <v>20</v>
      </c>
      <c r="B9" s="16">
        <v>2</v>
      </c>
      <c r="C9" s="2">
        <v>1</v>
      </c>
      <c r="D9" s="2">
        <v>3</v>
      </c>
      <c r="E9" s="2">
        <v>3</v>
      </c>
      <c r="F9" s="21">
        <f t="shared" si="0"/>
        <v>0</v>
      </c>
      <c r="G9" s="21">
        <f t="shared" si="0"/>
        <v>0</v>
      </c>
      <c r="H9" s="21">
        <f t="shared" si="0"/>
        <v>0</v>
      </c>
      <c r="I9" s="22">
        <v>0</v>
      </c>
      <c r="J9" s="22">
        <v>0</v>
      </c>
      <c r="K9" s="22">
        <v>0</v>
      </c>
      <c r="L9" s="22">
        <v>0</v>
      </c>
      <c r="M9" s="23">
        <f t="shared" si="1"/>
        <v>1</v>
      </c>
    </row>
    <row r="10" spans="1:13" x14ac:dyDescent="0.2">
      <c r="A10" s="40" t="s">
        <v>24</v>
      </c>
      <c r="B10" s="16">
        <v>2</v>
      </c>
      <c r="C10" s="2">
        <v>1</v>
      </c>
      <c r="D10" s="2">
        <v>3</v>
      </c>
      <c r="E10" s="2">
        <v>4</v>
      </c>
      <c r="F10" s="21">
        <f t="shared" si="0"/>
        <v>0</v>
      </c>
      <c r="G10" s="21">
        <f t="shared" si="0"/>
        <v>0</v>
      </c>
      <c r="H10" s="21">
        <f t="shared" si="0"/>
        <v>0</v>
      </c>
      <c r="I10" s="22">
        <v>0</v>
      </c>
      <c r="J10" s="22">
        <v>0</v>
      </c>
      <c r="K10" s="22">
        <v>0</v>
      </c>
      <c r="L10" s="22">
        <v>0</v>
      </c>
      <c r="M10" s="23">
        <f t="shared" si="1"/>
        <v>0</v>
      </c>
    </row>
    <row r="11" spans="1:13" x14ac:dyDescent="0.2">
      <c r="A11" s="40" t="s">
        <v>25</v>
      </c>
      <c r="B11" s="16">
        <v>2</v>
      </c>
      <c r="C11" s="2">
        <v>1</v>
      </c>
      <c r="D11" s="2">
        <v>3</v>
      </c>
      <c r="E11" s="2">
        <v>5</v>
      </c>
      <c r="F11" s="21">
        <f t="shared" si="0"/>
        <v>0</v>
      </c>
      <c r="G11" s="21">
        <f t="shared" si="0"/>
        <v>0</v>
      </c>
      <c r="H11" s="21">
        <f t="shared" si="0"/>
        <v>0</v>
      </c>
      <c r="I11" s="22">
        <v>0</v>
      </c>
      <c r="J11" s="22">
        <v>0</v>
      </c>
      <c r="K11" s="22">
        <v>0</v>
      </c>
      <c r="L11" s="22">
        <v>0</v>
      </c>
      <c r="M11" s="23">
        <f t="shared" si="1"/>
        <v>9</v>
      </c>
    </row>
    <row r="12" spans="1:13" x14ac:dyDescent="0.2">
      <c r="A12" s="40" t="s">
        <v>17</v>
      </c>
      <c r="B12" s="16">
        <v>2</v>
      </c>
      <c r="C12" s="2">
        <v>1</v>
      </c>
      <c r="D12" s="2">
        <v>3</v>
      </c>
      <c r="E12" s="2">
        <v>6</v>
      </c>
      <c r="F12" s="21">
        <f t="shared" si="0"/>
        <v>0</v>
      </c>
      <c r="G12" s="21">
        <f t="shared" si="0"/>
        <v>0</v>
      </c>
      <c r="H12" s="21">
        <f t="shared" si="0"/>
        <v>0</v>
      </c>
      <c r="I12" s="22">
        <v>0</v>
      </c>
      <c r="J12" s="22">
        <v>0</v>
      </c>
      <c r="K12" s="22">
        <v>0</v>
      </c>
      <c r="L12" s="22">
        <v>0</v>
      </c>
      <c r="M12" s="23">
        <f t="shared" si="1"/>
        <v>8</v>
      </c>
    </row>
    <row r="13" spans="1:13" x14ac:dyDescent="0.2">
      <c r="A13" s="40" t="s">
        <v>26</v>
      </c>
      <c r="B13" s="17">
        <v>3</v>
      </c>
      <c r="C13" s="18">
        <v>2</v>
      </c>
      <c r="D13" s="18">
        <v>0</v>
      </c>
      <c r="E13" s="19" t="e">
        <f>INT(NormalisationTarget/1000)</f>
        <v>#NUM!</v>
      </c>
      <c r="F13" s="19" t="e">
        <f>INT(NormalisationTarget/100)-(Barcode4*10)</f>
        <v>#NUM!</v>
      </c>
      <c r="G13" s="19" t="e">
        <f>INT(NormalisationTarget/10)-(Barcode4*100)-(Barcode5*10)</f>
        <v>#NUM!</v>
      </c>
      <c r="H13" s="19" t="e">
        <f>INT(NormalisationTarget/1)-(Barcode4*1000)-(Barcode5*100)-(Barcode6*10)</f>
        <v>#NUM!</v>
      </c>
      <c r="I13" s="20">
        <f>INT(NormalisationSerialNumber/1000)</f>
        <v>8</v>
      </c>
      <c r="J13" s="20">
        <f>INT(NormalisationSerialNumber/100)-(Barcode8*10)</f>
        <v>0</v>
      </c>
      <c r="K13" s="20">
        <f>INT(NormalisationSerialNumber/10)-(Barcode8*100)-(Barcode9*10)</f>
        <v>0</v>
      </c>
      <c r="L13" s="20">
        <f>INT(NormalisationSerialNumber/1)-(Barcode8*1000)-(Barcode9*100)-(Barcode10*10)</f>
        <v>0</v>
      </c>
      <c r="M13" s="24" t="e">
        <f>MOD(10-MOD(3*(Barcode1+Barcode3+Barcode5+Barcode7+Barcode9+Barcode11)+Barcode2+Barcode4+Barcode6+Barcode8+Barcode10,10),10)</f>
        <v>#NUM!</v>
      </c>
    </row>
    <row r="14" spans="1:13" x14ac:dyDescent="0.2">
      <c r="A14" s="1"/>
      <c r="B14" s="1"/>
      <c r="C14" s="1"/>
      <c r="D14" s="1"/>
      <c r="E14" s="1"/>
      <c r="F14" s="1"/>
      <c r="G14" s="1"/>
      <c r="H14" s="1"/>
      <c r="I14" s="1"/>
      <c r="J14" s="1"/>
      <c r="K14" s="1"/>
      <c r="L14" s="1"/>
      <c r="M14" s="1"/>
    </row>
    <row r="15" spans="1:13" x14ac:dyDescent="0.2">
      <c r="A15" s="1"/>
      <c r="B15" s="3">
        <v>1</v>
      </c>
      <c r="C15" s="4" t="s">
        <v>3</v>
      </c>
      <c r="D15" s="4"/>
      <c r="E15" s="4"/>
      <c r="F15" s="4"/>
      <c r="G15" s="4"/>
      <c r="H15" s="4"/>
      <c r="I15" s="4"/>
      <c r="J15" s="4"/>
      <c r="K15" s="4"/>
      <c r="L15" s="4"/>
      <c r="M15" s="4"/>
    </row>
    <row r="16" spans="1:13" x14ac:dyDescent="0.2">
      <c r="A16" s="1"/>
      <c r="B16" s="3">
        <v>2</v>
      </c>
      <c r="C16" s="4" t="s">
        <v>14</v>
      </c>
      <c r="D16" s="4"/>
      <c r="E16" s="4"/>
      <c r="F16" s="4"/>
      <c r="G16" s="4"/>
      <c r="H16" s="4"/>
      <c r="I16" s="4"/>
      <c r="J16" s="4"/>
      <c r="K16" s="4"/>
      <c r="L16" s="4"/>
      <c r="M16" s="4"/>
    </row>
    <row r="17" spans="1:13" x14ac:dyDescent="0.2">
      <c r="A17" s="1"/>
      <c r="B17" s="3">
        <v>3</v>
      </c>
      <c r="C17" s="4" t="s">
        <v>4</v>
      </c>
      <c r="D17" s="4"/>
      <c r="E17" s="4"/>
      <c r="F17" s="4"/>
      <c r="G17" s="4"/>
      <c r="H17" s="4"/>
      <c r="I17" s="4"/>
      <c r="J17" s="4"/>
      <c r="K17" s="4"/>
      <c r="L17" s="4"/>
      <c r="M17" s="4"/>
    </row>
    <row r="18" spans="1:13" x14ac:dyDescent="0.2">
      <c r="A18" s="1"/>
      <c r="B18" s="5">
        <v>4</v>
      </c>
      <c r="C18" s="4" t="s">
        <v>5</v>
      </c>
      <c r="D18" s="4"/>
      <c r="E18" s="4"/>
      <c r="F18" s="4"/>
      <c r="G18" s="4"/>
      <c r="H18" s="4"/>
      <c r="I18" s="4"/>
      <c r="J18" s="4"/>
      <c r="K18" s="4"/>
      <c r="L18" s="4"/>
      <c r="M18" s="4"/>
    </row>
    <row r="19" spans="1:13" x14ac:dyDescent="0.2">
      <c r="A19" s="1"/>
      <c r="B19" s="6" t="s">
        <v>6</v>
      </c>
      <c r="C19" s="4" t="s">
        <v>7</v>
      </c>
      <c r="D19" s="4"/>
      <c r="E19" s="4"/>
      <c r="F19" s="4"/>
      <c r="G19" s="4"/>
      <c r="H19" s="4"/>
      <c r="I19" s="4"/>
      <c r="J19" s="4"/>
      <c r="K19" s="4"/>
      <c r="L19" s="4"/>
      <c r="M19" s="4"/>
    </row>
    <row r="20" spans="1:13" x14ac:dyDescent="0.2">
      <c r="A20" s="1"/>
      <c r="B20" s="7" t="s">
        <v>8</v>
      </c>
      <c r="C20" s="4" t="s">
        <v>9</v>
      </c>
      <c r="D20" s="4"/>
      <c r="E20" s="4"/>
      <c r="F20" s="4"/>
      <c r="G20" s="4"/>
      <c r="H20" s="4"/>
      <c r="I20" s="4"/>
      <c r="J20" s="4"/>
      <c r="K20" s="4"/>
      <c r="L20" s="4"/>
      <c r="M20" s="4"/>
    </row>
    <row r="21" spans="1:13" x14ac:dyDescent="0.2">
      <c r="A21" s="1"/>
      <c r="B21" s="8">
        <v>12</v>
      </c>
      <c r="C21" s="4" t="s">
        <v>10</v>
      </c>
      <c r="D21" s="4"/>
      <c r="E21" s="4"/>
      <c r="F21" s="4"/>
      <c r="G21" s="4"/>
      <c r="H21" s="4"/>
      <c r="I21" s="4"/>
      <c r="J21" s="4"/>
      <c r="K21" s="1"/>
      <c r="L21" s="1"/>
      <c r="M21" s="1"/>
    </row>
    <row r="22" spans="1:13" x14ac:dyDescent="0.2">
      <c r="A22" s="1"/>
      <c r="B22" s="3"/>
      <c r="C22" s="4"/>
      <c r="D22" s="4"/>
      <c r="E22" s="4"/>
      <c r="F22" s="4"/>
      <c r="G22" s="4"/>
      <c r="H22" s="4"/>
      <c r="I22" s="4"/>
      <c r="J22" s="4"/>
    </row>
    <row r="23" spans="1:13" x14ac:dyDescent="0.2">
      <c r="A23" s="1"/>
      <c r="B23" s="9" t="s">
        <v>8</v>
      </c>
      <c r="C23" s="4" t="s">
        <v>11</v>
      </c>
      <c r="D23" s="4"/>
      <c r="E23" s="4"/>
      <c r="F23" s="4"/>
      <c r="G23" s="4"/>
      <c r="H23" s="4"/>
      <c r="I23" s="4"/>
      <c r="J23" s="4"/>
    </row>
    <row r="24" spans="1:13" x14ac:dyDescent="0.2">
      <c r="A24" s="1"/>
      <c r="B24" s="10" t="s">
        <v>12</v>
      </c>
      <c r="C24" s="4" t="s">
        <v>13</v>
      </c>
      <c r="D24" s="4"/>
      <c r="E24" s="4"/>
      <c r="F24" s="4"/>
      <c r="G24" s="4"/>
      <c r="H24" s="4"/>
      <c r="I24" s="4"/>
      <c r="J24" s="4"/>
    </row>
    <row r="25" spans="1:13" x14ac:dyDescent="0.2">
      <c r="A25" s="1"/>
      <c r="B25" s="1"/>
      <c r="C25" s="1"/>
      <c r="D25" s="1"/>
      <c r="E25" s="1"/>
      <c r="F25" s="1"/>
      <c r="G25" s="1"/>
      <c r="H25" s="1"/>
      <c r="I25" s="1"/>
      <c r="J25" s="1"/>
    </row>
    <row r="26" spans="1:13" x14ac:dyDescent="0.2">
      <c r="B26" s="191" t="s">
        <v>23</v>
      </c>
      <c r="C26" s="192"/>
      <c r="D26" s="192"/>
      <c r="E26" s="41">
        <f>NormalisationSerialNumber</f>
        <v>8000</v>
      </c>
    </row>
    <row r="27" spans="1:13" x14ac:dyDescent="0.2">
      <c r="B27" s="188" t="s">
        <v>27</v>
      </c>
      <c r="C27" s="189"/>
      <c r="D27" s="189"/>
      <c r="E27" s="42" t="e">
        <f>AssignedTargetNormalisationLabelFormat</f>
        <v>#NUM!</v>
      </c>
    </row>
  </sheetData>
  <sheetProtection selectLockedCells="1"/>
  <mergeCells count="2">
    <mergeCell ref="B26:D26"/>
    <mergeCell ref="B27:D27"/>
  </mergeCells>
  <phoneticPr fontId="5" type="noConversion"/>
  <pageMargins left="0.75" right="0.75" top="1" bottom="1" header="0.5" footer="0.5"/>
  <pageSetup paperSize="9" orientation="landscape"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173</vt:i4>
      </vt:variant>
    </vt:vector>
  </HeadingPairs>
  <TitlesOfParts>
    <vt:vector size="178" baseType="lpstr">
      <vt:lpstr>MFWI-00074-SUD-F1</vt:lpstr>
      <vt:lpstr>Reference Set</vt:lpstr>
      <vt:lpstr>Sign-Off Sheet</vt:lpstr>
      <vt:lpstr>Limits</vt:lpstr>
      <vt:lpstr>Barcode Numbers</vt:lpstr>
      <vt:lpstr>_PE005703</vt:lpstr>
      <vt:lpstr>_PE005704</vt:lpstr>
      <vt:lpstr>Assign_Blank</vt:lpstr>
      <vt:lpstr>Assign_High</vt:lpstr>
      <vt:lpstr>Assign_Low</vt:lpstr>
      <vt:lpstr>Assign_SBlank</vt:lpstr>
      <vt:lpstr>Assign_Scatter</vt:lpstr>
      <vt:lpstr>Assign_Test</vt:lpstr>
      <vt:lpstr>AssignedTargetNormalisation</vt:lpstr>
      <vt:lpstr>AssignedTargetNormalisationLabelFormat</vt:lpstr>
      <vt:lpstr>AssignHigh</vt:lpstr>
      <vt:lpstr>AssignLow</vt:lpstr>
      <vt:lpstr>AssignScatter</vt:lpstr>
      <vt:lpstr>AssignTest</vt:lpstr>
      <vt:lpstr>Average_Span_Limit_Blank</vt:lpstr>
      <vt:lpstr>Average_Span_Limit_High</vt:lpstr>
      <vt:lpstr>Average_Span_Limit_Low</vt:lpstr>
      <vt:lpstr>Average_Span_Limit_Norm</vt:lpstr>
      <vt:lpstr>Average_Span_Limit_Reference_Blank</vt:lpstr>
      <vt:lpstr>Average_Span_Limit_Reference_High</vt:lpstr>
      <vt:lpstr>Average_Span_Limit_Reference_Low</vt:lpstr>
      <vt:lpstr>Average_Span_Limit_Reference_Norm</vt:lpstr>
      <vt:lpstr>Average_Span_Limit_Reference_SBlank</vt:lpstr>
      <vt:lpstr>Average_Span_Limit_Reference_Scatter</vt:lpstr>
      <vt:lpstr>Average_Span_Limit_Reference_Test</vt:lpstr>
      <vt:lpstr>Average_Span_Limit_Reference_Var</vt:lpstr>
      <vt:lpstr>Average_Span_Limit_SBlank</vt:lpstr>
      <vt:lpstr>Average_Span_Limit_Scatter</vt:lpstr>
      <vt:lpstr>Average_Span_Limit_Test</vt:lpstr>
      <vt:lpstr>Average_Span_Limit_Var</vt:lpstr>
      <vt:lpstr>Barcode1</vt:lpstr>
      <vt:lpstr>Barcode10</vt:lpstr>
      <vt:lpstr>Barcode11</vt:lpstr>
      <vt:lpstr>Barcode2</vt:lpstr>
      <vt:lpstr>Barcode3</vt:lpstr>
      <vt:lpstr>Barcode4</vt:lpstr>
      <vt:lpstr>Barcode5</vt:lpstr>
      <vt:lpstr>Barcode6</vt:lpstr>
      <vt:lpstr>Barcode7</vt:lpstr>
      <vt:lpstr>Barcode8</vt:lpstr>
      <vt:lpstr>Barcode9</vt:lpstr>
      <vt:lpstr>BC_Check_Blank</vt:lpstr>
      <vt:lpstr>BC_Check_High</vt:lpstr>
      <vt:lpstr>BC_Check_Low</vt:lpstr>
      <vt:lpstr>BC_Check_Norm</vt:lpstr>
      <vt:lpstr>BC_Check_SBlank</vt:lpstr>
      <vt:lpstr>BC_Check_Scatter</vt:lpstr>
      <vt:lpstr>BC_Check_Test</vt:lpstr>
      <vt:lpstr>BC_Check_VAR</vt:lpstr>
      <vt:lpstr>BC_Scatter</vt:lpstr>
      <vt:lpstr>Blank_Check</vt:lpstr>
      <vt:lpstr>Checksum_Blank</vt:lpstr>
      <vt:lpstr>Checksum_High</vt:lpstr>
      <vt:lpstr>Checksum_Low</vt:lpstr>
      <vt:lpstr>Checksum_Norm</vt:lpstr>
      <vt:lpstr>Checksum_SBlank</vt:lpstr>
      <vt:lpstr>Checksum_Scatter</vt:lpstr>
      <vt:lpstr>Checksum_Test</vt:lpstr>
      <vt:lpstr>Checksum_VAR</vt:lpstr>
      <vt:lpstr>DCA_Blank</vt:lpstr>
      <vt:lpstr>DCA_Blank_1</vt:lpstr>
      <vt:lpstr>DCA_Blank_2</vt:lpstr>
      <vt:lpstr>DCA_Blank_3</vt:lpstr>
      <vt:lpstr>DCA_High</vt:lpstr>
      <vt:lpstr>DCA_High_1</vt:lpstr>
      <vt:lpstr>DCA_High_2</vt:lpstr>
      <vt:lpstr>DCA_High_3</vt:lpstr>
      <vt:lpstr>DCA_Low</vt:lpstr>
      <vt:lpstr>DCA_Low_1</vt:lpstr>
      <vt:lpstr>DCA_Low_2</vt:lpstr>
      <vt:lpstr>DCA_Low_3</vt:lpstr>
      <vt:lpstr>DCA_Norm</vt:lpstr>
      <vt:lpstr>DCA_Norm_1</vt:lpstr>
      <vt:lpstr>DCA_Norm_2</vt:lpstr>
      <vt:lpstr>DCA_Norm_3</vt:lpstr>
      <vt:lpstr>DCA_SBlank</vt:lpstr>
      <vt:lpstr>DCA_SBlank_1</vt:lpstr>
      <vt:lpstr>DCA_SBlank_2</vt:lpstr>
      <vt:lpstr>DCA_SBlank_3</vt:lpstr>
      <vt:lpstr>DCA_Scatter</vt:lpstr>
      <vt:lpstr>DCA_Scatter_1</vt:lpstr>
      <vt:lpstr>DCA_Scatter_2</vt:lpstr>
      <vt:lpstr>DCA_Scatter_3</vt:lpstr>
      <vt:lpstr>DCA_Test</vt:lpstr>
      <vt:lpstr>DCA_Test_1</vt:lpstr>
      <vt:lpstr>DCA_Test_2</vt:lpstr>
      <vt:lpstr>DCA_Test_3</vt:lpstr>
      <vt:lpstr>DCA_Var</vt:lpstr>
      <vt:lpstr>DCA_Var_1</vt:lpstr>
      <vt:lpstr>DCA_Var_2</vt:lpstr>
      <vt:lpstr>DCA_Var_3</vt:lpstr>
      <vt:lpstr>Filter_Set_Number</vt:lpstr>
      <vt:lpstr>High_Check</vt:lpstr>
      <vt:lpstr>Limit_Blank_High</vt:lpstr>
      <vt:lpstr>Limit_Blank_Low</vt:lpstr>
      <vt:lpstr>Limit_High_High</vt:lpstr>
      <vt:lpstr>Limit_High_Low</vt:lpstr>
      <vt:lpstr>Limit_Low_High</vt:lpstr>
      <vt:lpstr>Limit_Low_Low</vt:lpstr>
      <vt:lpstr>Limit_Norm_High</vt:lpstr>
      <vt:lpstr>Limit_Norm_Low</vt:lpstr>
      <vt:lpstr>Limit_SBlank_High</vt:lpstr>
      <vt:lpstr>Limit_SBlank_Low</vt:lpstr>
      <vt:lpstr>Limit_Scatter_High</vt:lpstr>
      <vt:lpstr>Limit_Scatter_Low</vt:lpstr>
      <vt:lpstr>Limit_Test_High</vt:lpstr>
      <vt:lpstr>Limit_Test_Low</vt:lpstr>
      <vt:lpstr>Limit_Var_High</vt:lpstr>
      <vt:lpstr>Limit_Var_Low</vt:lpstr>
      <vt:lpstr>Low_Check</vt:lpstr>
      <vt:lpstr>New_Instrument_Number</vt:lpstr>
      <vt:lpstr>Norm_Check</vt:lpstr>
      <vt:lpstr>NormalisationSerialNumber</vt:lpstr>
      <vt:lpstr>NormalisationTarget</vt:lpstr>
      <vt:lpstr>NotBC_High</vt:lpstr>
      <vt:lpstr>NotBC_Low</vt:lpstr>
      <vt:lpstr>NotBC_Test</vt:lpstr>
      <vt:lpstr>NPL_Blank</vt:lpstr>
      <vt:lpstr>NPL_High</vt:lpstr>
      <vt:lpstr>NPL_Low</vt:lpstr>
      <vt:lpstr>NPL_Scatter</vt:lpstr>
      <vt:lpstr>NPL_Test</vt:lpstr>
      <vt:lpstr>NPLBlank</vt:lpstr>
      <vt:lpstr>Offset_High</vt:lpstr>
      <vt:lpstr>Offset_Low</vt:lpstr>
      <vt:lpstr>Offset_Scatter</vt:lpstr>
      <vt:lpstr>Offset_Test</vt:lpstr>
      <vt:lpstr>PHNSerialNumber</vt:lpstr>
      <vt:lpstr>Ref_High</vt:lpstr>
      <vt:lpstr>Ref_Low</vt:lpstr>
      <vt:lpstr>Ref_ND_Blank_Reading</vt:lpstr>
      <vt:lpstr>Ref_ND_Blank_Reading_1</vt:lpstr>
      <vt:lpstr>Ref_ND_Blank_Reading_2</vt:lpstr>
      <vt:lpstr>Ref_ND_Blank_Reading_3</vt:lpstr>
      <vt:lpstr>Ref_ND_High_Reading</vt:lpstr>
      <vt:lpstr>Ref_ND_High_Reading_1</vt:lpstr>
      <vt:lpstr>Ref_ND_High_Reading_2</vt:lpstr>
      <vt:lpstr>Ref_ND_High_Reading_3</vt:lpstr>
      <vt:lpstr>Ref_ND_Low_Reading</vt:lpstr>
      <vt:lpstr>Ref_ND_Low_Reading_1</vt:lpstr>
      <vt:lpstr>Ref_ND_Low_Reading_2</vt:lpstr>
      <vt:lpstr>Ref_ND_Low_Reading_3</vt:lpstr>
      <vt:lpstr>Ref_ND_Test_Reading</vt:lpstr>
      <vt:lpstr>Ref_ND_Test_Reading_1</vt:lpstr>
      <vt:lpstr>Ref_ND_Test_Reading_2</vt:lpstr>
      <vt:lpstr>Ref_ND_Test_Reading_3</vt:lpstr>
      <vt:lpstr>Ref_ND_Var_Reading</vt:lpstr>
      <vt:lpstr>Ref_ND_Var_Reading_1</vt:lpstr>
      <vt:lpstr>Ref_ND_Var_Reading_2</vt:lpstr>
      <vt:lpstr>Ref_ND_Var_Reading_3</vt:lpstr>
      <vt:lpstr>Ref_Norm_Abs</vt:lpstr>
      <vt:lpstr>Ref_Normalisation_A_Reading</vt:lpstr>
      <vt:lpstr>Ref_Normalisation_Reading</vt:lpstr>
      <vt:lpstr>Ref_Normalisation_Reading_1</vt:lpstr>
      <vt:lpstr>Ref_Normalisation_Reading_2</vt:lpstr>
      <vt:lpstr>Ref_Normalisation_Reading_3</vt:lpstr>
      <vt:lpstr>Ref_Scatter</vt:lpstr>
      <vt:lpstr>Ref_Scatter_Blank_Reading</vt:lpstr>
      <vt:lpstr>Ref_Scatter_Blank_Reading_1</vt:lpstr>
      <vt:lpstr>Ref_Scatter_Blank_Reading_2</vt:lpstr>
      <vt:lpstr>Ref_Scatter_Blank_Reading_3</vt:lpstr>
      <vt:lpstr>Ref_Scatter_Reading</vt:lpstr>
      <vt:lpstr>Ref_Scatter_Reading_1</vt:lpstr>
      <vt:lpstr>Ref_Scatter_Reading_2</vt:lpstr>
      <vt:lpstr>Ref_Scatter_Reading_3</vt:lpstr>
      <vt:lpstr>Ref_Test</vt:lpstr>
      <vt:lpstr>SBlank_Check</vt:lpstr>
      <vt:lpstr>Scatter_Check</vt:lpstr>
      <vt:lpstr>Test_Check</vt:lpstr>
      <vt:lpstr>Test_Limit_High</vt:lpstr>
      <vt:lpstr>Test_Limit_Low</vt:lpstr>
      <vt:lpstr>Test_Limit_Scatter</vt:lpstr>
      <vt:lpstr>Test_Limit_Test</vt:lpstr>
    </vt:vector>
  </TitlesOfParts>
  <Company>BDMSL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 Warren</dc:creator>
  <cp:lastModifiedBy>Connor McConville</cp:lastModifiedBy>
  <cp:lastPrinted>2016-02-10T14:35:27Z</cp:lastPrinted>
  <dcterms:created xsi:type="dcterms:W3CDTF">2007-11-21T09:56:14Z</dcterms:created>
  <dcterms:modified xsi:type="dcterms:W3CDTF">2019-11-21T11:46:23Z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croVersion">
    <vt:lpwstr>3.2.0</vt:lpwstr>
  </property>
  <property fmtid="{D5CDD505-2E9C-101B-9397-08002B2CF9AE}" pid="3" name="_AdHocReviewCycleID">
    <vt:i4>716322818</vt:i4>
  </property>
  <property fmtid="{D5CDD505-2E9C-101B-9397-08002B2CF9AE}" pid="4" name="_NewReviewCycle">
    <vt:lpwstr/>
  </property>
  <property fmtid="{D5CDD505-2E9C-101B-9397-08002B2CF9AE}" pid="5" name="_EmailSubject">
    <vt:lpwstr>DCA Filter Set Spreadsheet</vt:lpwstr>
  </property>
  <property fmtid="{D5CDD505-2E9C-101B-9397-08002B2CF9AE}" pid="6" name="_AuthorEmail">
    <vt:lpwstr>tony.warren@siemens.com</vt:lpwstr>
  </property>
  <property fmtid="{D5CDD505-2E9C-101B-9397-08002B2CF9AE}" pid="7" name="_AuthorEmailDisplayName">
    <vt:lpwstr>Warren, Anthony</vt:lpwstr>
  </property>
  <property fmtid="{D5CDD505-2E9C-101B-9397-08002B2CF9AE}" pid="8" name="_ReviewingToolsShownOnce">
    <vt:lpwstr/>
  </property>
  <property fmtid="{D5CDD505-2E9C-101B-9397-08002B2CF9AE}" pid="9" name="DigSigSignature1">
    <vt:lpwstr/>
  </property>
  <property fmtid="{D5CDD505-2E9C-101B-9397-08002B2CF9AE}" pid="10" name="DigSigSignature2">
    <vt:lpwstr/>
  </property>
</Properties>
</file>